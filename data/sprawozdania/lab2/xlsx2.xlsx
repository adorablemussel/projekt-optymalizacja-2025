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68589FF-B459-4F48-B6CD-FA4BF0FDCFA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abela 1" sheetId="1" r:id="rId1"/>
    <sheet name="Tabela 2" sheetId="6" r:id="rId2"/>
    <sheet name="Wykres" sheetId="7" r:id="rId3"/>
    <sheet name="Tabela 3" sheetId="8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1" l="1"/>
  <c r="P206" i="1"/>
  <c r="T203" i="1"/>
  <c r="S203" i="1"/>
  <c r="R203" i="1"/>
  <c r="Q203" i="1"/>
  <c r="P203" i="1"/>
  <c r="P3" i="1"/>
  <c r="T9" i="1"/>
  <c r="T3" i="1"/>
  <c r="S9" i="1"/>
  <c r="S3" i="1"/>
  <c r="S6" i="1"/>
  <c r="R9" i="1"/>
  <c r="R3" i="1"/>
  <c r="P9" i="1"/>
  <c r="Q9" i="1"/>
  <c r="Q3" i="1"/>
  <c r="T6" i="1"/>
  <c r="R6" i="1"/>
  <c r="Q6" i="1"/>
  <c r="P6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T206" i="1" s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S11" i="1" s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Q206" i="1" l="1"/>
  <c r="S206" i="1"/>
  <c r="P11" i="1"/>
  <c r="T11" i="1"/>
  <c r="R11" i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EE0810-EB11-40B9-988C-007D8FF56EBC}" keepAlive="1" name="Zapytanie — symulacja_lab2_rzeczywisty" description="Połączenie z zapytaniem „symulacja_lab2_rzeczywisty” w skoroszycie." type="5" refreshedVersion="0" background="1">
    <dbPr connection="Provider=Microsoft.Mashup.OleDb.1;Data Source=$Workbook$;Location=symulacja_lab2_rzeczywisty;Extended Properties=&quot;&quot;" command="SELECT * FROM [symulacja_lab2_rzeczywisty]"/>
  </connection>
  <connection id="2" xr16:uid="{E5415A72-6F36-42FC-A9D7-8B31FD0A6E6E}" keepAlive="1" name="Zapytanie — symulacja_lab2_rzeczywisty (2)" description="Połączenie z zapytaniem „symulacja_lab2_rzeczywisty (2)” w skoroszycie." type="5" refreshedVersion="0" background="1">
    <dbPr connection="Provider=Microsoft.Mashup.OleDb.1;Data Source=$Workbook$;Location=&quot;symulacja_lab2_rzeczywisty (2)&quot;;Extended Properties=&quot;&quot;" command="SELECT * FROM [symulacja_lab2_rzeczywisty (2)]"/>
  </connection>
  <connection id="3" xr16:uid="{C839E5BE-1FB2-4E4D-B7F4-172AE959C3A2}" keepAlive="1" name="Zapytanie — symulacja_lab2_testowa" description="Połączenie z zapytaniem „symulacja_lab2_testowa” w skoroszycie." type="5" refreshedVersion="0" background="1">
    <dbPr connection="Provider=Microsoft.Mashup.OleDb.1;Data Source=$Workbook$;Location=symulacja_lab2_testowa;Extended Properties=&quot;&quot;" command="SELECT * FROM [symulacja_lab2_testowa]"/>
  </connection>
  <connection id="4" xr16:uid="{E48DA2BA-2490-4CD1-82DD-338611D2DFA2}" keepAlive="1" name="Zapytanie — symulacja_lab2_testowa (2)" description="Połączenie z zapytaniem „symulacja_lab2_testowa (2)” w skoroszycie." type="5" refreshedVersion="0" background="1">
    <dbPr connection="Provider=Microsoft.Mashup.OleDb.1;Data Source=$Workbook$;Location=&quot;symulacja_lab2_testowa (2)&quot;;Extended Properties=&quot;&quot;" command="SELECT * FROM [symulacja_lab2_testowa (2)]"/>
  </connection>
  <connection id="5" xr16:uid="{A15D0A32-4CA8-4227-8ABF-471E1C3CC50D}" keepAlive="1" name="Zapytanie — symulacja_lab2_testowa (3)" description="Połączenie z zapytaniem „symulacja_lab2_testowa (3)” w skoroszycie." type="5" refreshedVersion="0" background="1">
    <dbPr connection="Provider=Microsoft.Mashup.OleDb.1;Data Source=$Workbook$;Location=&quot;symulacja_lab2_testowa (3)&quot;;Extended Properties=&quot;&quot;" command="SELECT * FROM [symulacja_lab2_testowa (3)]"/>
  </connection>
  <connection id="6" xr16:uid="{2728CCF2-EBFE-4F11-B25C-7E0EA30044A0}" keepAlive="1" name="Zapytanie — symulacja_lab2_testowa (4)" description="Połączenie z zapytaniem „symulacja_lab2_testowa (4)” w skoroszycie." type="5" refreshedVersion="0" background="1">
    <dbPr connection="Provider=Microsoft.Mashup.OleDb.1;Data Source=$Workbook$;Location=&quot;symulacja_lab2_testowa (4)&quot;;Extended Properties=&quot;&quot;" command="SELECT * FROM [symulacja_lab2_testowa (4)]"/>
  </connection>
  <connection id="7" xr16:uid="{9CE5130E-8D9B-4E37-AB7D-4896BE883AA2}" keepAlive="1" name="Zapytanie — symulacja_lab2_testowa (5)" description="Połączenie z zapytaniem „symulacja_lab2_testowa (5)” w skoroszycie." type="5" refreshedVersion="0" background="1">
    <dbPr connection="Provider=Microsoft.Mashup.OleDb.1;Data Source=$Workbook$;Location=&quot;symulacja_lab2_testowa (5)&quot;;Extended Properties=&quot;&quot;" command="SELECT * FROM [symulacja_lab2_testowa (5)]"/>
  </connection>
</connections>
</file>

<file path=xl/sharedStrings.xml><?xml version="1.0" encoding="utf-8"?>
<sst xmlns="http://schemas.openxmlformats.org/spreadsheetml/2006/main" count="59" uniqueCount="26">
  <si>
    <t>Liczba wywołań funkcji celu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</si>
  <si>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</si>
  <si>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t>Q*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</si>
  <si>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</si>
  <si>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Długość kroku</t>
  </si>
  <si>
    <t>Metoda Hooke’a-Jeevesa</t>
  </si>
  <si>
    <t>Metoda Rosenbrocka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</si>
  <si>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</si>
  <si>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</si>
  <si>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</si>
  <si>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</si>
  <si>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Minimum globalne [TAK/NIE]</t>
  </si>
  <si>
    <t>Liczba minimów globalnych</t>
  </si>
  <si>
    <t>Nr iteracji</t>
  </si>
  <si>
    <t>…</t>
  </si>
  <si>
    <t>t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</si>
  <si>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</si>
  <si>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α</t>
  </si>
  <si>
    <t>ω</t>
  </si>
  <si>
    <t>Lp,</t>
  </si>
  <si>
    <t>x1</t>
  </si>
  <si>
    <t>x2</t>
  </si>
  <si>
    <t>y</t>
  </si>
  <si>
    <t>lw</t>
  </si>
  <si>
    <t>Met, HJ</t>
  </si>
  <si>
    <t>Met, 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</si>
</sst>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  <font>
      <sz val="11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3" xfId="0" applyBorder="1"/>
    <xf numFmtId="0" fontId="0" fillId="0" borderId="31" xfId="0" applyBorder="1"/>
    <xf numFmtId="0" fontId="0" fillId="0" borderId="31" xfId="0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8" xfId="0" applyBorder="1"/>
    <xf numFmtId="0" fontId="0" fillId="0" borderId="36" xfId="0" applyBorder="1"/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8" xfId="0" applyFont="1" applyFill="1" applyBorder="1"/>
    <xf numFmtId="0" fontId="0" fillId="2" borderId="39" xfId="0" applyFont="1" applyFill="1" applyBorder="1"/>
    <xf numFmtId="0" fontId="0" fillId="0" borderId="38" xfId="0" applyNumberFormat="1" applyFont="1" applyBorder="1"/>
    <xf numFmtId="0" fontId="0" fillId="2" borderId="38" xfId="0" applyNumberFormat="1" applyFont="1" applyFill="1" applyBorder="1"/>
    <xf numFmtId="0" fontId="4" fillId="0" borderId="0" xfId="0" applyFont="1"/>
    <xf numFmtId="11" fontId="0" fillId="2" borderId="38" xfId="0" applyNumberFormat="1" applyFont="1" applyFill="1" applyBorder="1"/>
    <xf numFmtId="11" fontId="0" fillId="0" borderId="38" xfId="0" applyNumberFormat="1" applyFont="1" applyBorder="1"/>
    <xf numFmtId="0" fontId="0" fillId="0" borderId="0" xfId="0" applyFill="1" applyBorder="1" applyAlignment="1">
      <alignment horizontal="center" vertical="center" wrapText="1"/>
    </xf>
    <xf numFmtId="2" fontId="0" fillId="0" borderId="0" xfId="0" applyNumberFormat="1"/>
    <xf numFmtId="1" fontId="0" fillId="2" borderId="38" xfId="0" applyNumberFormat="1" applyFont="1" applyFill="1" applyBorder="1"/>
    <xf numFmtId="0" fontId="0" fillId="0" borderId="0" xfId="0" applyFill="1" applyBorder="1"/>
    <xf numFmtId="0" fontId="0" fillId="2" borderId="0" xfId="0" applyNumberFormat="1" applyFont="1" applyFill="1" applyBorder="1"/>
    <xf numFmtId="0" fontId="0" fillId="0" borderId="37" xfId="0" applyNumberFormat="1" applyFont="1" applyBorder="1"/>
    <xf numFmtId="0" fontId="0" fillId="0" borderId="39" xfId="0" applyNumberFormat="1" applyFont="1" applyBorder="1"/>
    <xf numFmtId="0" fontId="0" fillId="2" borderId="37" xfId="0" applyNumberFormat="1" applyFont="1" applyFill="1" applyBorder="1"/>
    <xf numFmtId="0" fontId="0" fillId="2" borderId="39" xfId="0" applyNumberFormat="1" applyFont="1" applyFill="1" applyBorder="1"/>
    <xf numFmtId="11" fontId="0" fillId="0" borderId="39" xfId="0" applyNumberFormat="1" applyFont="1" applyBorder="1"/>
    <xf numFmtId="11" fontId="0" fillId="2" borderId="39" xfId="0" applyNumberFormat="1" applyFont="1" applyFill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Wykres!$B$3:$B$12</c:f>
              <c:numCache>
                <c:formatCode>General</c:formatCode>
                <c:ptCount val="10"/>
                <c:pt idx="0" formatCode="0.00E+00">
                  <c:v>-2.7755599999999997E-17</c:v>
                </c:pt>
                <c:pt idx="1">
                  <c:v>-0.77514000000000005</c:v>
                </c:pt>
                <c:pt idx="2">
                  <c:v>0.77514000000000005</c:v>
                </c:pt>
                <c:pt idx="3" formatCode="0.00E+00">
                  <c:v>1.73472E-17</c:v>
                </c:pt>
                <c:pt idx="4" formatCode="0.00E+00">
                  <c:v>-1.8561500000000001E-16</c:v>
                </c:pt>
                <c:pt idx="5" formatCode="0.00E+00">
                  <c:v>2.7582099999999998E-16</c:v>
                </c:pt>
                <c:pt idx="6">
                  <c:v>0.77514000000000005</c:v>
                </c:pt>
                <c:pt idx="7" formatCode="0.00E+00">
                  <c:v>-1.8561500000000001E-16</c:v>
                </c:pt>
                <c:pt idx="8">
                  <c:v>0.77514000000000005</c:v>
                </c:pt>
                <c:pt idx="9">
                  <c:v>-0.77514000000000005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4-455E-88B0-61A549A79AA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Wykres!$C$3:$C$12</c:f>
              <c:numCache>
                <c:formatCode>General</c:formatCode>
                <c:ptCount val="10"/>
                <c:pt idx="0" formatCode="0.00E+00">
                  <c:v>-8.6736199999999993E-18</c:v>
                </c:pt>
                <c:pt idx="1">
                  <c:v>0.77514000000000005</c:v>
                </c:pt>
                <c:pt idx="2">
                  <c:v>0.77514000000000005</c:v>
                </c:pt>
                <c:pt idx="3">
                  <c:v>-0.77514000000000005</c:v>
                </c:pt>
                <c:pt idx="4">
                  <c:v>-0.77514000000000005</c:v>
                </c:pt>
                <c:pt idx="5" formatCode="0.00E+00">
                  <c:v>-2.04697E-16</c:v>
                </c:pt>
                <c:pt idx="6">
                  <c:v>-0.77514000000000005</c:v>
                </c:pt>
                <c:pt idx="7">
                  <c:v>-0.77514000000000005</c:v>
                </c:pt>
                <c:pt idx="8">
                  <c:v>0.77514000000000005</c:v>
                </c:pt>
                <c:pt idx="9">
                  <c:v>-0.77514000000000005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4-455E-88B0-61A549A79AA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0961376"/>
        <c:axId val="120980096"/>
        <c:axId val="804174816"/>
      </c:surfaceChart>
      <c:catAx>
        <c:axId val="120961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80096"/>
        <c:crosses val="autoZero"/>
        <c:auto val="1"/>
        <c:lblAlgn val="ctr"/>
        <c:lblOffset val="100"/>
        <c:noMultiLvlLbl val="0"/>
      </c:catAx>
      <c:valAx>
        <c:axId val="1209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61376"/>
        <c:crosses val="autoZero"/>
        <c:crossBetween val="midCat"/>
      </c:valAx>
      <c:serAx>
        <c:axId val="804174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800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</a:t>
            </a:r>
            <a:r>
              <a:rPr lang="pl-PL" baseline="0"/>
              <a:t> HJ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Symulacja!$A$3:$A$211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Symulacja!$B$3:$B$211</c:f>
              <c:numCache>
                <c:formatCode>General</c:formatCode>
                <c:ptCount val="209"/>
                <c:pt idx="0">
                  <c:v>0</c:v>
                </c:pt>
                <c:pt idx="1">
                  <c:v>9.7976000000000001E-3</c:v>
                </c:pt>
                <c:pt idx="2">
                  <c:v>3.7503799999999997E-2</c:v>
                </c:pt>
                <c:pt idx="3">
                  <c:v>8.0743899999999993E-2</c:v>
                </c:pt>
                <c:pt idx="4">
                  <c:v>0.13734099999999999</c:v>
                </c:pt>
                <c:pt idx="5">
                  <c:v>0.20530399999999999</c:v>
                </c:pt>
                <c:pt idx="6">
                  <c:v>0.28281800000000001</c:v>
                </c:pt>
                <c:pt idx="7">
                  <c:v>0.36823400000000001</c:v>
                </c:pt>
                <c:pt idx="8">
                  <c:v>0.46005699999999999</c:v>
                </c:pt>
                <c:pt idx="9">
                  <c:v>0.55693800000000004</c:v>
                </c:pt>
                <c:pt idx="10">
                  <c:v>0.65766100000000005</c:v>
                </c:pt>
                <c:pt idx="11">
                  <c:v>0.76113799999999998</c:v>
                </c:pt>
                <c:pt idx="12">
                  <c:v>0.86639900000000003</c:v>
                </c:pt>
                <c:pt idx="13">
                  <c:v>0.97258100000000003</c:v>
                </c:pt>
                <c:pt idx="14">
                  <c:v>1.0789200000000001</c:v>
                </c:pt>
                <c:pt idx="15">
                  <c:v>1.18475</c:v>
                </c:pt>
                <c:pt idx="16">
                  <c:v>1.28949</c:v>
                </c:pt>
                <c:pt idx="17">
                  <c:v>1.39263</c:v>
                </c:pt>
                <c:pt idx="18">
                  <c:v>1.4937400000000001</c:v>
                </c:pt>
                <c:pt idx="19">
                  <c:v>1.5924400000000001</c:v>
                </c:pt>
                <c:pt idx="20">
                  <c:v>1.68845</c:v>
                </c:pt>
                <c:pt idx="21">
                  <c:v>1.78149</c:v>
                </c:pt>
                <c:pt idx="22">
                  <c:v>1.87137</c:v>
                </c:pt>
                <c:pt idx="23">
                  <c:v>1.9579299999999999</c:v>
                </c:pt>
                <c:pt idx="24">
                  <c:v>2.0410499999999998</c:v>
                </c:pt>
                <c:pt idx="25">
                  <c:v>2.1206399999999999</c:v>
                </c:pt>
                <c:pt idx="26">
                  <c:v>2.1966600000000001</c:v>
                </c:pt>
                <c:pt idx="27">
                  <c:v>2.2690700000000001</c:v>
                </c:pt>
                <c:pt idx="28">
                  <c:v>2.3378899999999998</c:v>
                </c:pt>
                <c:pt idx="29">
                  <c:v>2.4031199999999999</c:v>
                </c:pt>
                <c:pt idx="30">
                  <c:v>2.4648300000000001</c:v>
                </c:pt>
                <c:pt idx="31">
                  <c:v>2.52305</c:v>
                </c:pt>
                <c:pt idx="32">
                  <c:v>2.5778799999999999</c:v>
                </c:pt>
                <c:pt idx="33">
                  <c:v>2.6293799999999998</c:v>
                </c:pt>
                <c:pt idx="34">
                  <c:v>2.6776599999999999</c:v>
                </c:pt>
                <c:pt idx="35">
                  <c:v>2.72282</c:v>
                </c:pt>
                <c:pt idx="36">
                  <c:v>2.7649599999999999</c:v>
                </c:pt>
                <c:pt idx="37">
                  <c:v>2.8042099999999999</c:v>
                </c:pt>
                <c:pt idx="38">
                  <c:v>2.8406699999999998</c:v>
                </c:pt>
                <c:pt idx="39">
                  <c:v>2.8744700000000001</c:v>
                </c:pt>
                <c:pt idx="40">
                  <c:v>2.9057300000000001</c:v>
                </c:pt>
                <c:pt idx="41">
                  <c:v>2.9345699999999999</c:v>
                </c:pt>
                <c:pt idx="42">
                  <c:v>2.9611100000000001</c:v>
                </c:pt>
                <c:pt idx="43">
                  <c:v>2.9854699999999998</c:v>
                </c:pt>
                <c:pt idx="44">
                  <c:v>3.0077799999999999</c:v>
                </c:pt>
                <c:pt idx="45">
                  <c:v>3.0281500000000001</c:v>
                </c:pt>
                <c:pt idx="46">
                  <c:v>3.0466899999999999</c:v>
                </c:pt>
                <c:pt idx="47">
                  <c:v>3.06352</c:v>
                </c:pt>
                <c:pt idx="48">
                  <c:v>3.0787499999999999</c:v>
                </c:pt>
                <c:pt idx="49">
                  <c:v>3.0924700000000001</c:v>
                </c:pt>
                <c:pt idx="50">
                  <c:v>3.1047899999999999</c:v>
                </c:pt>
                <c:pt idx="51">
                  <c:v>3.1158100000000002</c:v>
                </c:pt>
                <c:pt idx="52">
                  <c:v>3.1256200000000001</c:v>
                </c:pt>
                <c:pt idx="53">
                  <c:v>3.1343100000000002</c:v>
                </c:pt>
                <c:pt idx="54">
                  <c:v>3.1419700000000002</c:v>
                </c:pt>
                <c:pt idx="55">
                  <c:v>3.1486700000000001</c:v>
                </c:pt>
                <c:pt idx="56">
                  <c:v>3.15449</c:v>
                </c:pt>
                <c:pt idx="57">
                  <c:v>3.15951</c:v>
                </c:pt>
                <c:pt idx="58">
                  <c:v>3.1637900000000001</c:v>
                </c:pt>
                <c:pt idx="59">
                  <c:v>3.1673900000000001</c:v>
                </c:pt>
                <c:pt idx="60">
                  <c:v>3.1703899999999998</c:v>
                </c:pt>
                <c:pt idx="61">
                  <c:v>3.1728299999999998</c:v>
                </c:pt>
                <c:pt idx="62">
                  <c:v>3.1747700000000001</c:v>
                </c:pt>
                <c:pt idx="63">
                  <c:v>3.1762600000000001</c:v>
                </c:pt>
                <c:pt idx="64">
                  <c:v>3.1773400000000001</c:v>
                </c:pt>
                <c:pt idx="65">
                  <c:v>3.17807</c:v>
                </c:pt>
                <c:pt idx="66">
                  <c:v>3.1784699999999999</c:v>
                </c:pt>
                <c:pt idx="67">
                  <c:v>3.1785800000000002</c:v>
                </c:pt>
                <c:pt idx="68">
                  <c:v>3.1784500000000002</c:v>
                </c:pt>
                <c:pt idx="69">
                  <c:v>3.1781000000000001</c:v>
                </c:pt>
                <c:pt idx="70">
                  <c:v>3.1775600000000002</c:v>
                </c:pt>
                <c:pt idx="71">
                  <c:v>3.17685</c:v>
                </c:pt>
                <c:pt idx="72">
                  <c:v>3.1760100000000002</c:v>
                </c:pt>
                <c:pt idx="73">
                  <c:v>3.1750500000000001</c:v>
                </c:pt>
                <c:pt idx="74">
                  <c:v>3.1739999999999999</c:v>
                </c:pt>
                <c:pt idx="75">
                  <c:v>3.1728700000000001</c:v>
                </c:pt>
                <c:pt idx="76">
                  <c:v>3.1716700000000002</c:v>
                </c:pt>
                <c:pt idx="77">
                  <c:v>3.1704300000000001</c:v>
                </c:pt>
                <c:pt idx="78">
                  <c:v>3.1691600000000002</c:v>
                </c:pt>
                <c:pt idx="79">
                  <c:v>3.1678700000000002</c:v>
                </c:pt>
                <c:pt idx="80">
                  <c:v>3.16656</c:v>
                </c:pt>
                <c:pt idx="81">
                  <c:v>3.16526</c:v>
                </c:pt>
                <c:pt idx="82">
                  <c:v>3.1639599999999999</c:v>
                </c:pt>
                <c:pt idx="83">
                  <c:v>3.1626699999999999</c:v>
                </c:pt>
                <c:pt idx="84">
                  <c:v>3.1614</c:v>
                </c:pt>
                <c:pt idx="85">
                  <c:v>3.1601599999999999</c:v>
                </c:pt>
                <c:pt idx="86">
                  <c:v>3.1589499999999999</c:v>
                </c:pt>
                <c:pt idx="87">
                  <c:v>3.1577700000000002</c:v>
                </c:pt>
                <c:pt idx="88">
                  <c:v>3.1566299999999998</c:v>
                </c:pt>
                <c:pt idx="89">
                  <c:v>3.1555300000000002</c:v>
                </c:pt>
                <c:pt idx="90">
                  <c:v>3.1544699999999999</c:v>
                </c:pt>
                <c:pt idx="91">
                  <c:v>3.1534499999999999</c:v>
                </c:pt>
                <c:pt idx="92">
                  <c:v>3.1524700000000001</c:v>
                </c:pt>
                <c:pt idx="93">
                  <c:v>3.1515399999999998</c:v>
                </c:pt>
                <c:pt idx="94">
                  <c:v>3.1506500000000002</c:v>
                </c:pt>
                <c:pt idx="95">
                  <c:v>3.14981</c:v>
                </c:pt>
                <c:pt idx="96">
                  <c:v>3.1490100000000001</c:v>
                </c:pt>
                <c:pt idx="97">
                  <c:v>3.1482600000000001</c:v>
                </c:pt>
                <c:pt idx="98">
                  <c:v>3.1475399999999998</c:v>
                </c:pt>
                <c:pt idx="99">
                  <c:v>3.1468699999999998</c:v>
                </c:pt>
                <c:pt idx="100">
                  <c:v>3.1462400000000001</c:v>
                </c:pt>
                <c:pt idx="101">
                  <c:v>3.1456499999999998</c:v>
                </c:pt>
                <c:pt idx="102">
                  <c:v>3.1450999999999998</c:v>
                </c:pt>
                <c:pt idx="103">
                  <c:v>3.1445799999999999</c:v>
                </c:pt>
                <c:pt idx="104">
                  <c:v>3.1440999999999999</c:v>
                </c:pt>
                <c:pt idx="105">
                  <c:v>3.1436500000000001</c:v>
                </c:pt>
                <c:pt idx="106">
                  <c:v>3.14324</c:v>
                </c:pt>
                <c:pt idx="107">
                  <c:v>3.1428600000000002</c:v>
                </c:pt>
                <c:pt idx="108">
                  <c:v>3.1425100000000001</c:v>
                </c:pt>
                <c:pt idx="109">
                  <c:v>3.1421800000000002</c:v>
                </c:pt>
                <c:pt idx="110">
                  <c:v>3.14188</c:v>
                </c:pt>
                <c:pt idx="111">
                  <c:v>3.14161</c:v>
                </c:pt>
                <c:pt idx="112">
                  <c:v>3.1413600000000002</c:v>
                </c:pt>
                <c:pt idx="113">
                  <c:v>3.14113</c:v>
                </c:pt>
                <c:pt idx="114">
                  <c:v>3.14093</c:v>
                </c:pt>
                <c:pt idx="115">
                  <c:v>3.1407400000000001</c:v>
                </c:pt>
                <c:pt idx="116">
                  <c:v>3.1405799999999999</c:v>
                </c:pt>
                <c:pt idx="117">
                  <c:v>3.1404200000000002</c:v>
                </c:pt>
                <c:pt idx="118">
                  <c:v>3.1402899999999998</c:v>
                </c:pt>
                <c:pt idx="119">
                  <c:v>3.1401699999999999</c:v>
                </c:pt>
                <c:pt idx="120">
                  <c:v>3.1400600000000001</c:v>
                </c:pt>
                <c:pt idx="121">
                  <c:v>3.1399699999999999</c:v>
                </c:pt>
                <c:pt idx="122">
                  <c:v>3.1398899999999998</c:v>
                </c:pt>
                <c:pt idx="123">
                  <c:v>3.1398199999999998</c:v>
                </c:pt>
                <c:pt idx="124">
                  <c:v>3.1397599999999999</c:v>
                </c:pt>
                <c:pt idx="125">
                  <c:v>3.13971</c:v>
                </c:pt>
                <c:pt idx="126">
                  <c:v>3.1396600000000001</c:v>
                </c:pt>
                <c:pt idx="127">
                  <c:v>3.1396199999999999</c:v>
                </c:pt>
                <c:pt idx="128">
                  <c:v>3.1396000000000002</c:v>
                </c:pt>
                <c:pt idx="129">
                  <c:v>3.13957</c:v>
                </c:pt>
                <c:pt idx="130">
                  <c:v>3.1395499999999998</c:v>
                </c:pt>
                <c:pt idx="131">
                  <c:v>3.1395400000000002</c:v>
                </c:pt>
                <c:pt idx="132">
                  <c:v>3.1395300000000002</c:v>
                </c:pt>
                <c:pt idx="133">
                  <c:v>3.1395300000000002</c:v>
                </c:pt>
                <c:pt idx="134">
                  <c:v>3.1395300000000002</c:v>
                </c:pt>
                <c:pt idx="135">
                  <c:v>3.1395300000000002</c:v>
                </c:pt>
                <c:pt idx="136">
                  <c:v>3.1395300000000002</c:v>
                </c:pt>
                <c:pt idx="137">
                  <c:v>3.1395400000000002</c:v>
                </c:pt>
                <c:pt idx="138">
                  <c:v>3.1395499999999998</c:v>
                </c:pt>
                <c:pt idx="139">
                  <c:v>3.1395599999999999</c:v>
                </c:pt>
                <c:pt idx="140">
                  <c:v>3.13957</c:v>
                </c:pt>
                <c:pt idx="141">
                  <c:v>3.13958</c:v>
                </c:pt>
                <c:pt idx="142">
                  <c:v>3.1396000000000002</c:v>
                </c:pt>
                <c:pt idx="143">
                  <c:v>3.1396099999999998</c:v>
                </c:pt>
                <c:pt idx="144">
                  <c:v>3.1396299999999999</c:v>
                </c:pt>
                <c:pt idx="145">
                  <c:v>3.13964</c:v>
                </c:pt>
                <c:pt idx="146">
                  <c:v>3.1396600000000001</c:v>
                </c:pt>
                <c:pt idx="147">
                  <c:v>3.1396700000000002</c:v>
                </c:pt>
                <c:pt idx="148">
                  <c:v>3.1396899999999999</c:v>
                </c:pt>
                <c:pt idx="149">
                  <c:v>3.13971</c:v>
                </c:pt>
                <c:pt idx="150">
                  <c:v>3.1397200000000001</c:v>
                </c:pt>
                <c:pt idx="151">
                  <c:v>3.1397400000000002</c:v>
                </c:pt>
                <c:pt idx="152">
                  <c:v>3.1397499999999998</c:v>
                </c:pt>
                <c:pt idx="153">
                  <c:v>3.1397699999999999</c:v>
                </c:pt>
                <c:pt idx="154">
                  <c:v>3.13978</c:v>
                </c:pt>
                <c:pt idx="155">
                  <c:v>3.1398000000000001</c:v>
                </c:pt>
                <c:pt idx="156">
                  <c:v>3.1398100000000002</c:v>
                </c:pt>
                <c:pt idx="157">
                  <c:v>3.1398199999999998</c:v>
                </c:pt>
                <c:pt idx="158">
                  <c:v>3.13984</c:v>
                </c:pt>
                <c:pt idx="159">
                  <c:v>3.13985</c:v>
                </c:pt>
                <c:pt idx="160">
                  <c:v>3.1398600000000001</c:v>
                </c:pt>
                <c:pt idx="161">
                  <c:v>3.1398700000000002</c:v>
                </c:pt>
                <c:pt idx="162">
                  <c:v>3.1398799999999998</c:v>
                </c:pt>
                <c:pt idx="163">
                  <c:v>3.1398899999999998</c:v>
                </c:pt>
                <c:pt idx="164">
                  <c:v>3.1398999999999999</c:v>
                </c:pt>
                <c:pt idx="165">
                  <c:v>3.13991</c:v>
                </c:pt>
                <c:pt idx="166">
                  <c:v>3.13992</c:v>
                </c:pt>
                <c:pt idx="167">
                  <c:v>3.13992</c:v>
                </c:pt>
                <c:pt idx="168">
                  <c:v>3.1399300000000001</c:v>
                </c:pt>
                <c:pt idx="169">
                  <c:v>3.1399400000000002</c:v>
                </c:pt>
                <c:pt idx="170">
                  <c:v>3.1399400000000002</c:v>
                </c:pt>
                <c:pt idx="171">
                  <c:v>3.1399499999999998</c:v>
                </c:pt>
                <c:pt idx="172">
                  <c:v>3.1399599999999999</c:v>
                </c:pt>
                <c:pt idx="173">
                  <c:v>3.1399599999999999</c:v>
                </c:pt>
                <c:pt idx="174">
                  <c:v>3.1399699999999999</c:v>
                </c:pt>
                <c:pt idx="175">
                  <c:v>3.1399699999999999</c:v>
                </c:pt>
                <c:pt idx="176">
                  <c:v>3.1399699999999999</c:v>
                </c:pt>
                <c:pt idx="177">
                  <c:v>3.13998</c:v>
                </c:pt>
                <c:pt idx="178">
                  <c:v>3.13998</c:v>
                </c:pt>
                <c:pt idx="179">
                  <c:v>3.13998</c:v>
                </c:pt>
                <c:pt idx="180">
                  <c:v>3.1399900000000001</c:v>
                </c:pt>
                <c:pt idx="181">
                  <c:v>3.1399900000000001</c:v>
                </c:pt>
                <c:pt idx="182">
                  <c:v>3.1399900000000001</c:v>
                </c:pt>
                <c:pt idx="183">
                  <c:v>3.1399900000000001</c:v>
                </c:pt>
                <c:pt idx="184">
                  <c:v>3.1399900000000001</c:v>
                </c:pt>
                <c:pt idx="185">
                  <c:v>3.14</c:v>
                </c:pt>
                <c:pt idx="186">
                  <c:v>3.14</c:v>
                </c:pt>
                <c:pt idx="187">
                  <c:v>3.14</c:v>
                </c:pt>
                <c:pt idx="188">
                  <c:v>3.14</c:v>
                </c:pt>
                <c:pt idx="189">
                  <c:v>3.14</c:v>
                </c:pt>
                <c:pt idx="190">
                  <c:v>3.14</c:v>
                </c:pt>
                <c:pt idx="191">
                  <c:v>3.14</c:v>
                </c:pt>
                <c:pt idx="192">
                  <c:v>3.14</c:v>
                </c:pt>
                <c:pt idx="193">
                  <c:v>3.14</c:v>
                </c:pt>
                <c:pt idx="194">
                  <c:v>3.14</c:v>
                </c:pt>
                <c:pt idx="195">
                  <c:v>3.14</c:v>
                </c:pt>
                <c:pt idx="196">
                  <c:v>3.1400100000000002</c:v>
                </c:pt>
                <c:pt idx="197">
                  <c:v>3.1400100000000002</c:v>
                </c:pt>
                <c:pt idx="198">
                  <c:v>3.1400100000000002</c:v>
                </c:pt>
                <c:pt idx="199">
                  <c:v>3.1400100000000002</c:v>
                </c:pt>
                <c:pt idx="200">
                  <c:v>3.1400100000000002</c:v>
                </c:pt>
                <c:pt idx="201">
                  <c:v>3.1400100000000002</c:v>
                </c:pt>
                <c:pt idx="202">
                  <c:v>3.1400100000000002</c:v>
                </c:pt>
                <c:pt idx="203">
                  <c:v>3.1400100000000002</c:v>
                </c:pt>
                <c:pt idx="204">
                  <c:v>3.1400100000000002</c:v>
                </c:pt>
                <c:pt idx="205">
                  <c:v>3.1400100000000002</c:v>
                </c:pt>
                <c:pt idx="206">
                  <c:v>3.1400100000000002</c:v>
                </c:pt>
                <c:pt idx="207">
                  <c:v>3.1400100000000002</c:v>
                </c:pt>
                <c:pt idx="208">
                  <c:v>3.1400100000000002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7-4CD2-9D34-FC95D750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53216"/>
        <c:axId val="120946016"/>
      </c:scatterChart>
      <c:valAx>
        <c:axId val="1209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46016"/>
        <c:crosses val="autoZero"/>
        <c:crossBetween val="midCat"/>
      </c:valAx>
      <c:valAx>
        <c:axId val="1209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Położenie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5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 HJ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Symulacja!$A$3:$A$200</c:f>
              <c:numCache>
                <c:formatCode>General</c:formatCode>
                <c:ptCount val="19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</c:numCache>
            </c:numRef>
          </c:xVal>
          <c:yVal>
            <c:numRef>
              <c:f>Symulacja!$C$3:$C$200</c:f>
              <c:numCache>
                <c:formatCode>General</c:formatCode>
                <c:ptCount val="198"/>
                <c:pt idx="0">
                  <c:v>0</c:v>
                </c:pt>
                <c:pt idx="1">
                  <c:v>0.19164600000000001</c:v>
                </c:pt>
                <c:pt idx="2">
                  <c:v>0.35852000000000001</c:v>
                </c:pt>
                <c:pt idx="3">
                  <c:v>0.50265300000000002</c:v>
                </c:pt>
                <c:pt idx="4">
                  <c:v>0.62596600000000002</c:v>
                </c:pt>
                <c:pt idx="5">
                  <c:v>0.73026999999999997</c:v>
                </c:pt>
                <c:pt idx="6">
                  <c:v>0.81726900000000002</c:v>
                </c:pt>
                <c:pt idx="7">
                  <c:v>0.88856199999999996</c:v>
                </c:pt>
                <c:pt idx="8">
                  <c:v>0.94564999999999999</c:v>
                </c:pt>
                <c:pt idx="9">
                  <c:v>0.98993200000000003</c:v>
                </c:pt>
                <c:pt idx="10">
                  <c:v>1.0227200000000001</c:v>
                </c:pt>
                <c:pt idx="11">
                  <c:v>1.04522</c:v>
                </c:pt>
                <c:pt idx="12">
                  <c:v>1.0585599999999999</c:v>
                </c:pt>
                <c:pt idx="13">
                  <c:v>1.0638000000000001</c:v>
                </c:pt>
                <c:pt idx="14">
                  <c:v>1.0619000000000001</c:v>
                </c:pt>
                <c:pt idx="15">
                  <c:v>1.0537399999999999</c:v>
                </c:pt>
                <c:pt idx="16">
                  <c:v>1.04016</c:v>
                </c:pt>
                <c:pt idx="17">
                  <c:v>1.0219</c:v>
                </c:pt>
                <c:pt idx="18">
                  <c:v>0.99964299999999995</c:v>
                </c:pt>
                <c:pt idx="19">
                  <c:v>0.97402500000000003</c:v>
                </c:pt>
                <c:pt idx="20">
                  <c:v>0.94561399999999995</c:v>
                </c:pt>
                <c:pt idx="21">
                  <c:v>0.91492700000000005</c:v>
                </c:pt>
                <c:pt idx="22">
                  <c:v>0.88243199999999999</c:v>
                </c:pt>
                <c:pt idx="23">
                  <c:v>0.84855100000000006</c:v>
                </c:pt>
                <c:pt idx="24">
                  <c:v>0.81366000000000005</c:v>
                </c:pt>
                <c:pt idx="25">
                  <c:v>0.77809700000000004</c:v>
                </c:pt>
                <c:pt idx="26">
                  <c:v>0.74216199999999999</c:v>
                </c:pt>
                <c:pt idx="27">
                  <c:v>0.706121</c:v>
                </c:pt>
                <c:pt idx="28">
                  <c:v>0.670207</c:v>
                </c:pt>
                <c:pt idx="29">
                  <c:v>0.63462200000000002</c:v>
                </c:pt>
                <c:pt idx="30">
                  <c:v>0.59954499999999999</c:v>
                </c:pt>
                <c:pt idx="31">
                  <c:v>0.56512600000000002</c:v>
                </c:pt>
                <c:pt idx="32">
                  <c:v>0.53149500000000005</c:v>
                </c:pt>
                <c:pt idx="33">
                  <c:v>0.49875999999999998</c:v>
                </c:pt>
                <c:pt idx="34">
                  <c:v>0.46701100000000001</c:v>
                </c:pt>
                <c:pt idx="35">
                  <c:v>0.43631999999999999</c:v>
                </c:pt>
                <c:pt idx="36">
                  <c:v>0.40674399999999999</c:v>
                </c:pt>
                <c:pt idx="37">
                  <c:v>0.37832700000000002</c:v>
                </c:pt>
                <c:pt idx="38">
                  <c:v>0.35109899999999999</c:v>
                </c:pt>
                <c:pt idx="39">
                  <c:v>0.32507999999999998</c:v>
                </c:pt>
                <c:pt idx="40">
                  <c:v>0.30028100000000002</c:v>
                </c:pt>
                <c:pt idx="41">
                  <c:v>0.276702</c:v>
                </c:pt>
                <c:pt idx="42">
                  <c:v>0.25433699999999998</c:v>
                </c:pt>
                <c:pt idx="43">
                  <c:v>0.23317299999999999</c:v>
                </c:pt>
                <c:pt idx="44">
                  <c:v>0.21319199999999999</c:v>
                </c:pt>
                <c:pt idx="45">
                  <c:v>0.19436899999999999</c:v>
                </c:pt>
                <c:pt idx="46">
                  <c:v>0.176678</c:v>
                </c:pt>
                <c:pt idx="47">
                  <c:v>0.16008700000000001</c:v>
                </c:pt>
                <c:pt idx="48">
                  <c:v>0.144561</c:v>
                </c:pt>
                <c:pt idx="49">
                  <c:v>0.13006400000000001</c:v>
                </c:pt>
                <c:pt idx="50">
                  <c:v>0.116559</c:v>
                </c:pt>
                <c:pt idx="51">
                  <c:v>0.104005</c:v>
                </c:pt>
                <c:pt idx="52">
                  <c:v>9.2362100000000003E-2</c:v>
                </c:pt>
                <c:pt idx="53">
                  <c:v>8.1588900000000006E-2</c:v>
                </c:pt>
                <c:pt idx="54">
                  <c:v>7.1644299999999994E-2</c:v>
                </c:pt>
                <c:pt idx="55">
                  <c:v>6.2486899999999998E-2</c:v>
                </c:pt>
                <c:pt idx="56">
                  <c:v>5.4075600000000001E-2</c:v>
                </c:pt>
                <c:pt idx="57">
                  <c:v>4.6370099999999997E-2</c:v>
                </c:pt>
                <c:pt idx="58">
                  <c:v>3.9330299999999999E-2</c:v>
                </c:pt>
                <c:pt idx="59">
                  <c:v>3.2917299999999997E-2</c:v>
                </c:pt>
                <c:pt idx="60">
                  <c:v>2.7093099999999998E-2</c:v>
                </c:pt>
                <c:pt idx="61">
                  <c:v>2.1820800000000001E-2</c:v>
                </c:pt>
                <c:pt idx="62">
                  <c:v>1.70645E-2</c:v>
                </c:pt>
                <c:pt idx="63">
                  <c:v>1.2789699999999999E-2</c:v>
                </c:pt>
                <c:pt idx="64">
                  <c:v>8.9633000000000004E-3</c:v>
                </c:pt>
                <c:pt idx="65">
                  <c:v>5.5534E-3</c:v>
                </c:pt>
                <c:pt idx="66">
                  <c:v>2.5295299999999999E-3</c:v>
                </c:pt>
                <c:pt idx="67">
                  <c:v>-1.3737800000000001E-4</c:v>
                </c:pt>
                <c:pt idx="68">
                  <c:v>-2.4750100000000001E-3</c:v>
                </c:pt>
                <c:pt idx="69">
                  <c:v>-4.5096399999999997E-3</c:v>
                </c:pt>
                <c:pt idx="70">
                  <c:v>-6.2661499999999998E-3</c:v>
                </c:pt>
                <c:pt idx="71">
                  <c:v>-7.7680800000000001E-3</c:v>
                </c:pt>
                <c:pt idx="72">
                  <c:v>-9.0375999999999998E-3</c:v>
                </c:pt>
                <c:pt idx="73">
                  <c:v>-1.00956E-2</c:v>
                </c:pt>
                <c:pt idx="74">
                  <c:v>-1.09616E-2</c:v>
                </c:pt>
                <c:pt idx="75">
                  <c:v>-1.1654100000000001E-2</c:v>
                </c:pt>
                <c:pt idx="76">
                  <c:v>-1.2190100000000001E-2</c:v>
                </c:pt>
                <c:pt idx="77">
                  <c:v>-1.2585600000000001E-2</c:v>
                </c:pt>
                <c:pt idx="78">
                  <c:v>-1.28556E-2</c:v>
                </c:pt>
                <c:pt idx="79">
                  <c:v>-1.3013800000000001E-2</c:v>
                </c:pt>
                <c:pt idx="80">
                  <c:v>-1.3073100000000001E-2</c:v>
                </c:pt>
                <c:pt idx="81">
                  <c:v>-1.30452E-2</c:v>
                </c:pt>
                <c:pt idx="82">
                  <c:v>-1.2941100000000001E-2</c:v>
                </c:pt>
                <c:pt idx="83">
                  <c:v>-1.2770800000000001E-2</c:v>
                </c:pt>
                <c:pt idx="84">
                  <c:v>-1.2543500000000001E-2</c:v>
                </c:pt>
                <c:pt idx="85">
                  <c:v>-1.2267500000000001E-2</c:v>
                </c:pt>
                <c:pt idx="86">
                  <c:v>-1.19507E-2</c:v>
                </c:pt>
                <c:pt idx="87">
                  <c:v>-1.15999E-2</c:v>
                </c:pt>
                <c:pt idx="88">
                  <c:v>-1.1221399999999999E-2</c:v>
                </c:pt>
                <c:pt idx="89">
                  <c:v>-1.08211E-2</c:v>
                </c:pt>
                <c:pt idx="90">
                  <c:v>-1.0403900000000001E-2</c:v>
                </c:pt>
                <c:pt idx="91">
                  <c:v>-9.97463E-3</c:v>
                </c:pt>
                <c:pt idx="92">
                  <c:v>-9.5372800000000004E-3</c:v>
                </c:pt>
                <c:pt idx="93">
                  <c:v>-9.0955600000000008E-3</c:v>
                </c:pt>
                <c:pt idx="94">
                  <c:v>-8.6526999999999993E-3</c:v>
                </c:pt>
                <c:pt idx="95">
                  <c:v>-8.2115299999999999E-3</c:v>
                </c:pt>
                <c:pt idx="96">
                  <c:v>-7.7745499999999999E-3</c:v>
                </c:pt>
                <c:pt idx="97">
                  <c:v>-7.3439100000000004E-3</c:v>
                </c:pt>
                <c:pt idx="98">
                  <c:v>-6.9214599999999999E-3</c:v>
                </c:pt>
                <c:pt idx="99">
                  <c:v>-6.5087699999999997E-3</c:v>
                </c:pt>
                <c:pt idx="100">
                  <c:v>-6.1071500000000004E-3</c:v>
                </c:pt>
                <c:pt idx="101">
                  <c:v>-5.7177E-3</c:v>
                </c:pt>
                <c:pt idx="102">
                  <c:v>-5.3413000000000002E-3</c:v>
                </c:pt>
                <c:pt idx="103">
                  <c:v>-4.9786400000000003E-3</c:v>
                </c:pt>
                <c:pt idx="104">
                  <c:v>-4.6302299999999999E-3</c:v>
                </c:pt>
                <c:pt idx="105">
                  <c:v>-4.2964600000000002E-3</c:v>
                </c:pt>
                <c:pt idx="106">
                  <c:v>-3.9775599999999998E-3</c:v>
                </c:pt>
                <c:pt idx="107">
                  <c:v>-3.6736400000000002E-3</c:v>
                </c:pt>
                <c:pt idx="108">
                  <c:v>-3.3847199999999999E-3</c:v>
                </c:pt>
                <c:pt idx="109">
                  <c:v>-3.1107000000000001E-3</c:v>
                </c:pt>
                <c:pt idx="110">
                  <c:v>-2.8514399999999998E-3</c:v>
                </c:pt>
                <c:pt idx="111">
                  <c:v>-2.6067E-3</c:v>
                </c:pt>
                <c:pt idx="112">
                  <c:v>-2.3761799999999999E-3</c:v>
                </c:pt>
                <c:pt idx="113">
                  <c:v>-2.1595299999999998E-3</c:v>
                </c:pt>
                <c:pt idx="114">
                  <c:v>-1.9563800000000002E-3</c:v>
                </c:pt>
                <c:pt idx="115">
                  <c:v>-1.7663100000000001E-3</c:v>
                </c:pt>
                <c:pt idx="116">
                  <c:v>-1.5888499999999999E-3</c:v>
                </c:pt>
                <c:pt idx="117">
                  <c:v>-1.42355E-3</c:v>
                </c:pt>
                <c:pt idx="118">
                  <c:v>-1.26991E-3</c:v>
                </c:pt>
                <c:pt idx="119">
                  <c:v>-1.12743E-3</c:v>
                </c:pt>
                <c:pt idx="120">
                  <c:v>-9.9562299999999995E-4</c:v>
                </c:pt>
                <c:pt idx="121">
                  <c:v>-8.7396499999999998E-4</c:v>
                </c:pt>
                <c:pt idx="122">
                  <c:v>-7.61953E-4</c:v>
                </c:pt>
                <c:pt idx="123">
                  <c:v>-6.5908199999999996E-4</c:v>
                </c:pt>
                <c:pt idx="124">
                  <c:v>-5.6485499999999996E-4</c:v>
                </c:pt>
                <c:pt idx="125">
                  <c:v>-4.78784E-4</c:v>
                </c:pt>
                <c:pt idx="126">
                  <c:v>-4.0038900000000002E-4</c:v>
                </c:pt>
                <c:pt idx="127">
                  <c:v>-3.2920300000000003E-4</c:v>
                </c:pt>
                <c:pt idx="128">
                  <c:v>-2.6477400000000001E-4</c:v>
                </c:pt>
                <c:pt idx="129">
                  <c:v>-2.06663E-4</c:v>
                </c:pt>
                <c:pt idx="130">
                  <c:v>-1.54446E-4</c:v>
                </c:pt>
                <c:pt idx="131">
                  <c:v>-1.07717E-4</c:v>
                </c:pt>
                <c:pt idx="132" formatCode="0.00E+00">
                  <c:v>-6.6085400000000003E-5</c:v>
                </c:pt>
                <c:pt idx="133" formatCode="0.00E+00">
                  <c:v>-2.9176999999999999E-5</c:v>
                </c:pt>
                <c:pt idx="134" formatCode="0.00E+00">
                  <c:v>3.3640899999999998E-6</c:v>
                </c:pt>
                <c:pt idx="135" formatCode="0.00E+00">
                  <c:v>3.18771E-5</c:v>
                </c:pt>
                <c:pt idx="136" formatCode="0.00E+00">
                  <c:v>5.6683900000000001E-5</c:v>
                </c:pt>
                <c:pt idx="137" formatCode="0.00E+00">
                  <c:v>7.8089499999999998E-5</c:v>
                </c:pt>
                <c:pt idx="138" formatCode="0.00E+00">
                  <c:v>9.6382E-5</c:v>
                </c:pt>
                <c:pt idx="139">
                  <c:v>1.11833E-4</c:v>
                </c:pt>
                <c:pt idx="140">
                  <c:v>1.2469799999999999E-4</c:v>
                </c:pt>
                <c:pt idx="141">
                  <c:v>1.3521799999999999E-4</c:v>
                </c:pt>
                <c:pt idx="142">
                  <c:v>1.43616E-4</c:v>
                </c:pt>
                <c:pt idx="143">
                  <c:v>1.5010300000000001E-4</c:v>
                </c:pt>
                <c:pt idx="144">
                  <c:v>1.5487399999999999E-4</c:v>
                </c:pt>
                <c:pt idx="145">
                  <c:v>1.5811199999999999E-4</c:v>
                </c:pt>
                <c:pt idx="146">
                  <c:v>1.5998600000000001E-4</c:v>
                </c:pt>
                <c:pt idx="147">
                  <c:v>1.6065200000000001E-4</c:v>
                </c:pt>
                <c:pt idx="148">
                  <c:v>1.6025499999999999E-4</c:v>
                </c:pt>
                <c:pt idx="149">
                  <c:v>1.5892799999999999E-4</c:v>
                </c:pt>
                <c:pt idx="150">
                  <c:v>1.56794E-4</c:v>
                </c:pt>
                <c:pt idx="151">
                  <c:v>1.5396499999999999E-4</c:v>
                </c:pt>
                <c:pt idx="152">
                  <c:v>1.50545E-4</c:v>
                </c:pt>
                <c:pt idx="153">
                  <c:v>1.4662599999999999E-4</c:v>
                </c:pt>
                <c:pt idx="154">
                  <c:v>1.4229499999999999E-4</c:v>
                </c:pt>
                <c:pt idx="155">
                  <c:v>1.3762799999999999E-4</c:v>
                </c:pt>
                <c:pt idx="156">
                  <c:v>1.32695E-4</c:v>
                </c:pt>
                <c:pt idx="157">
                  <c:v>1.2756000000000001E-4</c:v>
                </c:pt>
                <c:pt idx="158">
                  <c:v>1.22278E-4</c:v>
                </c:pt>
                <c:pt idx="159">
                  <c:v>1.1689899999999999E-4</c:v>
                </c:pt>
                <c:pt idx="160">
                  <c:v>1.1147E-4</c:v>
                </c:pt>
                <c:pt idx="161">
                  <c:v>1.06028E-4</c:v>
                </c:pt>
                <c:pt idx="162">
                  <c:v>1.00609E-4</c:v>
                </c:pt>
                <c:pt idx="163" formatCode="0.00E+00">
                  <c:v>9.5242799999999996E-5</c:v>
                </c:pt>
                <c:pt idx="164" formatCode="0.00E+00">
                  <c:v>8.9956000000000004E-5</c:v>
                </c:pt>
                <c:pt idx="165" formatCode="0.00E+00">
                  <c:v>8.4771000000000005E-5</c:v>
                </c:pt>
                <c:pt idx="166" formatCode="0.00E+00">
                  <c:v>7.9706800000000001E-5</c:v>
                </c:pt>
                <c:pt idx="167" formatCode="0.00E+00">
                  <c:v>7.4779599999999998E-5</c:v>
                </c:pt>
                <c:pt idx="168" formatCode="0.00E+00">
                  <c:v>7.0002500000000006E-5</c:v>
                </c:pt>
                <c:pt idx="169" formatCode="0.00E+00">
                  <c:v>6.5386200000000001E-5</c:v>
                </c:pt>
                <c:pt idx="170" formatCode="0.00E+00">
                  <c:v>6.0939200000000001E-5</c:v>
                </c:pt>
                <c:pt idx="171" formatCode="0.00E+00">
                  <c:v>5.66677E-5</c:v>
                </c:pt>
                <c:pt idx="172" formatCode="0.00E+00">
                  <c:v>5.25762E-5</c:v>
                </c:pt>
                <c:pt idx="173" formatCode="0.00E+00">
                  <c:v>4.8667500000000001E-5</c:v>
                </c:pt>
                <c:pt idx="174" formatCode="0.00E+00">
                  <c:v>4.4943E-5</c:v>
                </c:pt>
                <c:pt idx="175" formatCode="0.00E+00">
                  <c:v>4.1402700000000003E-5</c:v>
                </c:pt>
                <c:pt idx="176" formatCode="0.00E+00">
                  <c:v>3.80456E-5</c:v>
                </c:pt>
                <c:pt idx="177" formatCode="0.00E+00">
                  <c:v>3.4869600000000002E-5</c:v>
                </c:pt>
                <c:pt idx="178" formatCode="0.00E+00">
                  <c:v>3.1871800000000002E-5</c:v>
                </c:pt>
                <c:pt idx="179" formatCode="0.00E+00">
                  <c:v>2.9048599999999998E-5</c:v>
                </c:pt>
                <c:pt idx="180" formatCode="0.00E+00">
                  <c:v>2.6395699999999999E-5</c:v>
                </c:pt>
                <c:pt idx="181" formatCode="0.00E+00">
                  <c:v>2.3908299999999999E-5</c:v>
                </c:pt>
                <c:pt idx="182" formatCode="0.00E+00">
                  <c:v>2.1581199999999999E-5</c:v>
                </c:pt>
                <c:pt idx="183" formatCode="0.00E+00">
                  <c:v>1.94089E-5</c:v>
                </c:pt>
                <c:pt idx="184" formatCode="0.00E+00">
                  <c:v>1.7385699999999999E-5</c:v>
                </c:pt>
                <c:pt idx="185" formatCode="0.00E+00">
                  <c:v>1.5505399999999999E-5</c:v>
                </c:pt>
                <c:pt idx="186" formatCode="0.00E+00">
                  <c:v>1.3762E-5</c:v>
                </c:pt>
                <c:pt idx="187" formatCode="0.00E+00">
                  <c:v>1.2149300000000001E-5</c:v>
                </c:pt>
                <c:pt idx="188" formatCode="0.00E+00">
                  <c:v>1.0661E-5</c:v>
                </c:pt>
                <c:pt idx="189" formatCode="0.00E+00">
                  <c:v>9.2908799999999997E-6</c:v>
                </c:pt>
                <c:pt idx="190" formatCode="0.00E+00">
                  <c:v>8.03277E-6</c:v>
                </c:pt>
                <c:pt idx="191" formatCode="0.00E+00">
                  <c:v>6.8805399999999999E-6</c:v>
                </c:pt>
                <c:pt idx="192" formatCode="0.00E+00">
                  <c:v>5.8282000000000004E-6</c:v>
                </c:pt>
                <c:pt idx="193" formatCode="0.00E+00">
                  <c:v>4.8698700000000002E-6</c:v>
                </c:pt>
                <c:pt idx="194" formatCode="0.00E+00">
                  <c:v>3.9998199999999999E-6</c:v>
                </c:pt>
                <c:pt idx="195" formatCode="0.00E+00">
                  <c:v>3.2125000000000002E-6</c:v>
                </c:pt>
                <c:pt idx="196" formatCode="0.00E+00">
                  <c:v>2.5025199999999999E-6</c:v>
                </c:pt>
                <c:pt idx="197" formatCode="0.00E+00">
                  <c:v>1.8646900000000001E-6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9-4699-9C18-567CD3F0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5776"/>
        <c:axId val="120959936"/>
      </c:scatterChart>
      <c:valAx>
        <c:axId val="12097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59936"/>
        <c:crosses val="autoZero"/>
        <c:crossBetween val="midCat"/>
      </c:valAx>
      <c:valAx>
        <c:axId val="1209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prędkosć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7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 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Symulacja!$A$3:$A$200</c:f>
              <c:numCache>
                <c:formatCode>General</c:formatCode>
                <c:ptCount val="19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</c:numCache>
            </c:numRef>
          </c:xVal>
          <c:yVal>
            <c:numRef>
              <c:f>Symulacja!$D$3:$D$200</c:f>
              <c:numCache>
                <c:formatCode>General</c:formatCode>
                <c:ptCount val="198"/>
                <c:pt idx="0">
                  <c:v>0</c:v>
                </c:pt>
                <c:pt idx="1">
                  <c:v>8.1183899999999996E-3</c:v>
                </c:pt>
                <c:pt idx="2">
                  <c:v>3.1390700000000001E-2</c:v>
                </c:pt>
                <c:pt idx="3">
                  <c:v>6.8252699999999999E-2</c:v>
                </c:pt>
                <c:pt idx="4">
                  <c:v>0.11722</c:v>
                </c:pt>
                <c:pt idx="5">
                  <c:v>0.17688899999999999</c:v>
                </c:pt>
                <c:pt idx="6">
                  <c:v>0.24593400000000001</c:v>
                </c:pt>
                <c:pt idx="7">
                  <c:v>0.32311099999999998</c:v>
                </c:pt>
                <c:pt idx="8">
                  <c:v>0.40724900000000003</c:v>
                </c:pt>
                <c:pt idx="9">
                  <c:v>0.49725799999999998</c:v>
                </c:pt>
                <c:pt idx="10">
                  <c:v>0.59211999999999998</c:v>
                </c:pt>
                <c:pt idx="11">
                  <c:v>0.69088799999999995</c:v>
                </c:pt>
                <c:pt idx="12">
                  <c:v>0.79268799999999995</c:v>
                </c:pt>
                <c:pt idx="13">
                  <c:v>0.89671299999999998</c:v>
                </c:pt>
                <c:pt idx="14">
                  <c:v>1.0022200000000001</c:v>
                </c:pt>
                <c:pt idx="15">
                  <c:v>1.10853</c:v>
                </c:pt>
                <c:pt idx="16">
                  <c:v>1.2150300000000001</c:v>
                </c:pt>
                <c:pt idx="17">
                  <c:v>1.3211599999999999</c:v>
                </c:pt>
                <c:pt idx="18">
                  <c:v>1.42642</c:v>
                </c:pt>
                <c:pt idx="19">
                  <c:v>1.53034</c:v>
                </c:pt>
                <c:pt idx="20">
                  <c:v>1.6325400000000001</c:v>
                </c:pt>
                <c:pt idx="21">
                  <c:v>1.73265</c:v>
                </c:pt>
                <c:pt idx="22">
                  <c:v>1.83036</c:v>
                </c:pt>
                <c:pt idx="23">
                  <c:v>1.9254199999999999</c:v>
                </c:pt>
                <c:pt idx="24">
                  <c:v>2.0175800000000002</c:v>
                </c:pt>
                <c:pt idx="25">
                  <c:v>2.1066500000000001</c:v>
                </c:pt>
                <c:pt idx="26">
                  <c:v>2.1924800000000002</c:v>
                </c:pt>
                <c:pt idx="27">
                  <c:v>2.27494</c:v>
                </c:pt>
                <c:pt idx="28">
                  <c:v>2.3539400000000001</c:v>
                </c:pt>
                <c:pt idx="29">
                  <c:v>2.4293900000000002</c:v>
                </c:pt>
                <c:pt idx="30">
                  <c:v>2.5012599999999998</c:v>
                </c:pt>
                <c:pt idx="31">
                  <c:v>2.5695100000000002</c:v>
                </c:pt>
                <c:pt idx="32">
                  <c:v>2.6341600000000001</c:v>
                </c:pt>
                <c:pt idx="33">
                  <c:v>2.6952099999999999</c:v>
                </c:pt>
                <c:pt idx="34">
                  <c:v>2.7526999999999999</c:v>
                </c:pt>
                <c:pt idx="35">
                  <c:v>2.80667</c:v>
                </c:pt>
                <c:pt idx="36">
                  <c:v>2.8571900000000001</c:v>
                </c:pt>
                <c:pt idx="37">
                  <c:v>2.9043199999999998</c:v>
                </c:pt>
                <c:pt idx="38">
                  <c:v>2.9481600000000001</c:v>
                </c:pt>
                <c:pt idx="39">
                  <c:v>2.9887899999999998</c:v>
                </c:pt>
                <c:pt idx="40">
                  <c:v>3.0263100000000001</c:v>
                </c:pt>
                <c:pt idx="41">
                  <c:v>3.0608300000000002</c:v>
                </c:pt>
                <c:pt idx="42">
                  <c:v>3.09246</c:v>
                </c:pt>
                <c:pt idx="43">
                  <c:v>3.1213099999999998</c:v>
                </c:pt>
                <c:pt idx="44">
                  <c:v>3.1475</c:v>
                </c:pt>
                <c:pt idx="45">
                  <c:v>3.17116</c:v>
                </c:pt>
                <c:pt idx="46">
                  <c:v>3.1924000000000001</c:v>
                </c:pt>
                <c:pt idx="47">
                  <c:v>3.2113499999999999</c:v>
                </c:pt>
                <c:pt idx="48">
                  <c:v>3.2281300000000002</c:v>
                </c:pt>
                <c:pt idx="49">
                  <c:v>3.2428499999999998</c:v>
                </c:pt>
                <c:pt idx="50">
                  <c:v>3.2556500000000002</c:v>
                </c:pt>
                <c:pt idx="51">
                  <c:v>3.2666400000000002</c:v>
                </c:pt>
                <c:pt idx="52">
                  <c:v>3.2759399999999999</c:v>
                </c:pt>
                <c:pt idx="53">
                  <c:v>3.2836599999999998</c:v>
                </c:pt>
                <c:pt idx="54">
                  <c:v>3.2899099999999999</c:v>
                </c:pt>
                <c:pt idx="55">
                  <c:v>3.2948</c:v>
                </c:pt>
                <c:pt idx="56">
                  <c:v>3.2984399999999998</c:v>
                </c:pt>
                <c:pt idx="57">
                  <c:v>3.3009300000000001</c:v>
                </c:pt>
                <c:pt idx="58">
                  <c:v>3.3023600000000002</c:v>
                </c:pt>
                <c:pt idx="59">
                  <c:v>3.3028200000000001</c:v>
                </c:pt>
                <c:pt idx="60">
                  <c:v>3.3024200000000001</c:v>
                </c:pt>
                <c:pt idx="61">
                  <c:v>3.3012299999999999</c:v>
                </c:pt>
                <c:pt idx="62">
                  <c:v>3.2993299999999999</c:v>
                </c:pt>
                <c:pt idx="63">
                  <c:v>3.2968000000000002</c:v>
                </c:pt>
                <c:pt idx="64">
                  <c:v>3.29372</c:v>
                </c:pt>
                <c:pt idx="65">
                  <c:v>3.2901400000000001</c:v>
                </c:pt>
                <c:pt idx="66">
                  <c:v>3.2861500000000001</c:v>
                </c:pt>
                <c:pt idx="67">
                  <c:v>3.28179</c:v>
                </c:pt>
                <c:pt idx="68">
                  <c:v>3.2771300000000001</c:v>
                </c:pt>
                <c:pt idx="69">
                  <c:v>3.2722199999999999</c:v>
                </c:pt>
                <c:pt idx="70">
                  <c:v>3.2671000000000001</c:v>
                </c:pt>
                <c:pt idx="71">
                  <c:v>3.2618200000000002</c:v>
                </c:pt>
                <c:pt idx="72">
                  <c:v>3.2564299999999999</c:v>
                </c:pt>
                <c:pt idx="73">
                  <c:v>3.2509600000000001</c:v>
                </c:pt>
                <c:pt idx="74">
                  <c:v>3.2454499999999999</c:v>
                </c:pt>
                <c:pt idx="75">
                  <c:v>3.2399200000000001</c:v>
                </c:pt>
                <c:pt idx="76">
                  <c:v>3.2344200000000001</c:v>
                </c:pt>
                <c:pt idx="77">
                  <c:v>3.2289599999999998</c:v>
                </c:pt>
                <c:pt idx="78">
                  <c:v>3.22357</c:v>
                </c:pt>
                <c:pt idx="79">
                  <c:v>3.21827</c:v>
                </c:pt>
                <c:pt idx="80">
                  <c:v>3.2130800000000002</c:v>
                </c:pt>
                <c:pt idx="81">
                  <c:v>3.2080099999999998</c:v>
                </c:pt>
                <c:pt idx="82">
                  <c:v>3.2030699999999999</c:v>
                </c:pt>
                <c:pt idx="83">
                  <c:v>3.1982900000000001</c:v>
                </c:pt>
                <c:pt idx="84">
                  <c:v>3.19367</c:v>
                </c:pt>
                <c:pt idx="85">
                  <c:v>3.1892200000000002</c:v>
                </c:pt>
                <c:pt idx="86">
                  <c:v>3.1849400000000001</c:v>
                </c:pt>
                <c:pt idx="87">
                  <c:v>3.1808399999999999</c:v>
                </c:pt>
                <c:pt idx="88">
                  <c:v>3.17692</c:v>
                </c:pt>
                <c:pt idx="89">
                  <c:v>3.17319</c:v>
                </c:pt>
                <c:pt idx="90">
                  <c:v>3.1696499999999999</c:v>
                </c:pt>
                <c:pt idx="91">
                  <c:v>3.16629</c:v>
                </c:pt>
                <c:pt idx="92">
                  <c:v>3.1631200000000002</c:v>
                </c:pt>
                <c:pt idx="93">
                  <c:v>3.1601400000000002</c:v>
                </c:pt>
                <c:pt idx="94">
                  <c:v>3.15734</c:v>
                </c:pt>
                <c:pt idx="95">
                  <c:v>3.1547100000000001</c:v>
                </c:pt>
                <c:pt idx="96">
                  <c:v>3.1522700000000001</c:v>
                </c:pt>
                <c:pt idx="97">
                  <c:v>3.1499899999999998</c:v>
                </c:pt>
                <c:pt idx="98">
                  <c:v>3.1478799999999998</c:v>
                </c:pt>
                <c:pt idx="99">
                  <c:v>3.1459299999999999</c:v>
                </c:pt>
                <c:pt idx="100">
                  <c:v>3.1441400000000002</c:v>
                </c:pt>
                <c:pt idx="101">
                  <c:v>3.1425000000000001</c:v>
                </c:pt>
                <c:pt idx="102">
                  <c:v>3.141</c:v>
                </c:pt>
                <c:pt idx="103">
                  <c:v>3.13964</c:v>
                </c:pt>
                <c:pt idx="104">
                  <c:v>3.1384099999999999</c:v>
                </c:pt>
                <c:pt idx="105">
                  <c:v>3.1373000000000002</c:v>
                </c:pt>
                <c:pt idx="106">
                  <c:v>3.13632</c:v>
                </c:pt>
                <c:pt idx="107">
                  <c:v>3.1354500000000001</c:v>
                </c:pt>
                <c:pt idx="108">
                  <c:v>3.1346799999999999</c:v>
                </c:pt>
                <c:pt idx="109">
                  <c:v>3.13401</c:v>
                </c:pt>
                <c:pt idx="110">
                  <c:v>3.1334399999999998</c:v>
                </c:pt>
                <c:pt idx="111">
                  <c:v>3.1329600000000002</c:v>
                </c:pt>
                <c:pt idx="112">
                  <c:v>3.1325599999999998</c:v>
                </c:pt>
                <c:pt idx="113">
                  <c:v>3.1322299999999998</c:v>
                </c:pt>
                <c:pt idx="114">
                  <c:v>3.13198</c:v>
                </c:pt>
                <c:pt idx="115">
                  <c:v>3.1317900000000001</c:v>
                </c:pt>
                <c:pt idx="116">
                  <c:v>3.1316600000000001</c:v>
                </c:pt>
                <c:pt idx="117">
                  <c:v>3.13158</c:v>
                </c:pt>
                <c:pt idx="118">
                  <c:v>3.1315599999999999</c:v>
                </c:pt>
                <c:pt idx="119">
                  <c:v>3.13158</c:v>
                </c:pt>
                <c:pt idx="120">
                  <c:v>3.13164</c:v>
                </c:pt>
                <c:pt idx="121">
                  <c:v>3.1317400000000002</c:v>
                </c:pt>
                <c:pt idx="122">
                  <c:v>3.1318700000000002</c:v>
                </c:pt>
                <c:pt idx="123">
                  <c:v>3.1320299999999999</c:v>
                </c:pt>
                <c:pt idx="124">
                  <c:v>3.1322100000000002</c:v>
                </c:pt>
                <c:pt idx="125">
                  <c:v>3.1324200000000002</c:v>
                </c:pt>
                <c:pt idx="126">
                  <c:v>3.1326399999999999</c:v>
                </c:pt>
                <c:pt idx="127">
                  <c:v>3.1328800000000001</c:v>
                </c:pt>
                <c:pt idx="128">
                  <c:v>3.13314</c:v>
                </c:pt>
                <c:pt idx="129">
                  <c:v>3.1334</c:v>
                </c:pt>
                <c:pt idx="130">
                  <c:v>3.13368</c:v>
                </c:pt>
                <c:pt idx="131">
                  <c:v>3.1339600000000001</c:v>
                </c:pt>
                <c:pt idx="132">
                  <c:v>3.1342400000000001</c:v>
                </c:pt>
                <c:pt idx="133">
                  <c:v>3.1345299999999998</c:v>
                </c:pt>
                <c:pt idx="134">
                  <c:v>3.1348099999999999</c:v>
                </c:pt>
                <c:pt idx="135">
                  <c:v>3.1351</c:v>
                </c:pt>
                <c:pt idx="136">
                  <c:v>3.1353800000000001</c:v>
                </c:pt>
                <c:pt idx="137">
                  <c:v>3.1356600000000001</c:v>
                </c:pt>
                <c:pt idx="138">
                  <c:v>3.1359400000000002</c:v>
                </c:pt>
                <c:pt idx="139">
                  <c:v>3.1362100000000002</c:v>
                </c:pt>
                <c:pt idx="140">
                  <c:v>3.1364700000000001</c:v>
                </c:pt>
                <c:pt idx="141">
                  <c:v>3.13672</c:v>
                </c:pt>
                <c:pt idx="142">
                  <c:v>3.1369699999999998</c:v>
                </c:pt>
                <c:pt idx="143">
                  <c:v>3.1372100000000001</c:v>
                </c:pt>
                <c:pt idx="144">
                  <c:v>3.1374399999999998</c:v>
                </c:pt>
                <c:pt idx="145">
                  <c:v>3.13767</c:v>
                </c:pt>
                <c:pt idx="146">
                  <c:v>3.13788</c:v>
                </c:pt>
                <c:pt idx="147">
                  <c:v>3.13808</c:v>
                </c:pt>
                <c:pt idx="148">
                  <c:v>3.13828</c:v>
                </c:pt>
                <c:pt idx="149">
                  <c:v>3.1384599999999998</c:v>
                </c:pt>
                <c:pt idx="150">
                  <c:v>3.13863</c:v>
                </c:pt>
                <c:pt idx="151">
                  <c:v>3.1387999999999998</c:v>
                </c:pt>
                <c:pt idx="152">
                  <c:v>3.1389499999999999</c:v>
                </c:pt>
                <c:pt idx="153">
                  <c:v>3.1391</c:v>
                </c:pt>
                <c:pt idx="154">
                  <c:v>3.13923</c:v>
                </c:pt>
                <c:pt idx="155">
                  <c:v>3.1393599999999999</c:v>
                </c:pt>
                <c:pt idx="156">
                  <c:v>3.1394799999999998</c:v>
                </c:pt>
                <c:pt idx="157">
                  <c:v>3.1395900000000001</c:v>
                </c:pt>
                <c:pt idx="158">
                  <c:v>3.1396899999999999</c:v>
                </c:pt>
                <c:pt idx="159">
                  <c:v>3.13978</c:v>
                </c:pt>
                <c:pt idx="160">
                  <c:v>3.1398700000000002</c:v>
                </c:pt>
                <c:pt idx="161">
                  <c:v>3.1399499999999998</c:v>
                </c:pt>
                <c:pt idx="162">
                  <c:v>3.1400199999999998</c:v>
                </c:pt>
                <c:pt idx="163">
                  <c:v>3.1400800000000002</c:v>
                </c:pt>
                <c:pt idx="164">
                  <c:v>3.1401400000000002</c:v>
                </c:pt>
                <c:pt idx="165">
                  <c:v>3.14019</c:v>
                </c:pt>
                <c:pt idx="166">
                  <c:v>3.1402399999999999</c:v>
                </c:pt>
                <c:pt idx="167">
                  <c:v>3.1402800000000002</c:v>
                </c:pt>
                <c:pt idx="168">
                  <c:v>3.1403099999999999</c:v>
                </c:pt>
                <c:pt idx="169">
                  <c:v>3.1403400000000001</c:v>
                </c:pt>
                <c:pt idx="170">
                  <c:v>3.1403599999999998</c:v>
                </c:pt>
                <c:pt idx="171">
                  <c:v>3.14039</c:v>
                </c:pt>
                <c:pt idx="172">
                  <c:v>3.1404000000000001</c:v>
                </c:pt>
                <c:pt idx="173">
                  <c:v>3.1404200000000002</c:v>
                </c:pt>
                <c:pt idx="174">
                  <c:v>3.1404299999999998</c:v>
                </c:pt>
                <c:pt idx="175">
                  <c:v>3.1404299999999998</c:v>
                </c:pt>
                <c:pt idx="176">
                  <c:v>3.1404399999999999</c:v>
                </c:pt>
                <c:pt idx="177">
                  <c:v>3.1404399999999999</c:v>
                </c:pt>
                <c:pt idx="178">
                  <c:v>3.1404399999999999</c:v>
                </c:pt>
                <c:pt idx="179">
                  <c:v>3.1404299999999998</c:v>
                </c:pt>
                <c:pt idx="180">
                  <c:v>3.1404299999999998</c:v>
                </c:pt>
                <c:pt idx="181">
                  <c:v>3.1404200000000002</c:v>
                </c:pt>
                <c:pt idx="182">
                  <c:v>3.1404100000000001</c:v>
                </c:pt>
                <c:pt idx="183">
                  <c:v>3.1404000000000001</c:v>
                </c:pt>
                <c:pt idx="184">
                  <c:v>3.14039</c:v>
                </c:pt>
                <c:pt idx="185">
                  <c:v>3.1403799999999999</c:v>
                </c:pt>
                <c:pt idx="186">
                  <c:v>3.1403699999999999</c:v>
                </c:pt>
                <c:pt idx="187">
                  <c:v>3.1403599999999998</c:v>
                </c:pt>
                <c:pt idx="188">
                  <c:v>3.1403400000000001</c:v>
                </c:pt>
                <c:pt idx="189">
                  <c:v>3.1403300000000001</c:v>
                </c:pt>
                <c:pt idx="190">
                  <c:v>3.1403099999999999</c:v>
                </c:pt>
                <c:pt idx="191">
                  <c:v>3.1402999999999999</c:v>
                </c:pt>
                <c:pt idx="192">
                  <c:v>3.1402800000000002</c:v>
                </c:pt>
                <c:pt idx="193">
                  <c:v>3.1402700000000001</c:v>
                </c:pt>
                <c:pt idx="194">
                  <c:v>3.14025</c:v>
                </c:pt>
                <c:pt idx="195">
                  <c:v>3.1402399999999999</c:v>
                </c:pt>
                <c:pt idx="196">
                  <c:v>3.1402299999999999</c:v>
                </c:pt>
                <c:pt idx="197">
                  <c:v>3.1402100000000002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3-4544-BCD5-3DE0FE7D6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7216"/>
        <c:axId val="120984416"/>
      </c:scatterChart>
      <c:valAx>
        <c:axId val="1209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84416"/>
        <c:crosses val="autoZero"/>
        <c:crossBetween val="midCat"/>
      </c:valAx>
      <c:valAx>
        <c:axId val="1209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położenie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7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 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Symulacja!$A$3:$A$200</c:f>
              <c:numCache>
                <c:formatCode>General</c:formatCode>
                <c:ptCount val="19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</c:numCache>
            </c:numRef>
          </c:xVal>
          <c:yVal>
            <c:numRef>
              <c:f>Symulacja!$E$3:$E$200</c:f>
              <c:numCache>
                <c:formatCode>General</c:formatCode>
                <c:ptCount val="198"/>
                <c:pt idx="0">
                  <c:v>0</c:v>
                </c:pt>
                <c:pt idx="1">
                  <c:v>0.15962799999999999</c:v>
                </c:pt>
                <c:pt idx="2">
                  <c:v>0.30321199999999998</c:v>
                </c:pt>
                <c:pt idx="3">
                  <c:v>0.43155399999999999</c:v>
                </c:pt>
                <c:pt idx="4">
                  <c:v>0.54545399999999999</c:v>
                </c:pt>
                <c:pt idx="5">
                  <c:v>0.64571199999999995</c:v>
                </c:pt>
                <c:pt idx="6">
                  <c:v>0.73311999999999999</c:v>
                </c:pt>
                <c:pt idx="7">
                  <c:v>0.80845900000000004</c:v>
                </c:pt>
                <c:pt idx="8">
                  <c:v>0.87249699999999997</c:v>
                </c:pt>
                <c:pt idx="9">
                  <c:v>0.925987</c:v>
                </c:pt>
                <c:pt idx="10">
                  <c:v>0.96966399999999997</c:v>
                </c:pt>
                <c:pt idx="11">
                  <c:v>1.00424</c:v>
                </c:pt>
                <c:pt idx="12">
                  <c:v>1.03041</c:v>
                </c:pt>
                <c:pt idx="13">
                  <c:v>1.0488500000000001</c:v>
                </c:pt>
                <c:pt idx="14">
                  <c:v>1.06019</c:v>
                </c:pt>
                <c:pt idx="15">
                  <c:v>1.0650500000000001</c:v>
                </c:pt>
                <c:pt idx="16">
                  <c:v>1.0640400000000001</c:v>
                </c:pt>
                <c:pt idx="17">
                  <c:v>1.0577099999999999</c:v>
                </c:pt>
                <c:pt idx="18">
                  <c:v>1.0466</c:v>
                </c:pt>
                <c:pt idx="19">
                  <c:v>1.0312300000000001</c:v>
                </c:pt>
                <c:pt idx="20">
                  <c:v>1.0120800000000001</c:v>
                </c:pt>
                <c:pt idx="21">
                  <c:v>0.98961600000000005</c:v>
                </c:pt>
                <c:pt idx="22">
                  <c:v>0.96425899999999998</c:v>
                </c:pt>
                <c:pt idx="23">
                  <c:v>0.93641700000000005</c:v>
                </c:pt>
                <c:pt idx="24">
                  <c:v>0.90647</c:v>
                </c:pt>
                <c:pt idx="25">
                  <c:v>0.87477000000000005</c:v>
                </c:pt>
                <c:pt idx="26">
                  <c:v>0.84164499999999998</c:v>
                </c:pt>
                <c:pt idx="27">
                  <c:v>0.80740100000000004</c:v>
                </c:pt>
                <c:pt idx="28">
                  <c:v>0.77231799999999995</c:v>
                </c:pt>
                <c:pt idx="29">
                  <c:v>0.73665400000000003</c:v>
                </c:pt>
                <c:pt idx="30">
                  <c:v>0.70064700000000002</c:v>
                </c:pt>
                <c:pt idx="31">
                  <c:v>0.66451199999999999</c:v>
                </c:pt>
                <c:pt idx="32">
                  <c:v>0.62844500000000003</c:v>
                </c:pt>
                <c:pt idx="33">
                  <c:v>0.59262400000000004</c:v>
                </c:pt>
                <c:pt idx="34">
                  <c:v>0.55720599999999998</c:v>
                </c:pt>
                <c:pt idx="35">
                  <c:v>0.52233399999999996</c:v>
                </c:pt>
                <c:pt idx="36">
                  <c:v>0.48813299999999998</c:v>
                </c:pt>
                <c:pt idx="37">
                  <c:v>0.45471299999999998</c:v>
                </c:pt>
                <c:pt idx="38">
                  <c:v>0.42216900000000002</c:v>
                </c:pt>
                <c:pt idx="39">
                  <c:v>0.39058300000000001</c:v>
                </c:pt>
                <c:pt idx="40">
                  <c:v>0.36002499999999998</c:v>
                </c:pt>
                <c:pt idx="41">
                  <c:v>0.33055099999999998</c:v>
                </c:pt>
                <c:pt idx="42">
                  <c:v>0.30220900000000001</c:v>
                </c:pt>
                <c:pt idx="43">
                  <c:v>0.275034</c:v>
                </c:pt>
                <c:pt idx="44">
                  <c:v>0.249053</c:v>
                </c:pt>
                <c:pt idx="45">
                  <c:v>0.22428400000000001</c:v>
                </c:pt>
                <c:pt idx="46">
                  <c:v>0.200738</c:v>
                </c:pt>
                <c:pt idx="47">
                  <c:v>0.17841799999999999</c:v>
                </c:pt>
                <c:pt idx="48">
                  <c:v>0.15731999999999999</c:v>
                </c:pt>
                <c:pt idx="49">
                  <c:v>0.137436</c:v>
                </c:pt>
                <c:pt idx="50">
                  <c:v>0.11874899999999999</c:v>
                </c:pt>
                <c:pt idx="51">
                  <c:v>0.101242</c:v>
                </c:pt>
                <c:pt idx="52">
                  <c:v>8.4890300000000002E-2</c:v>
                </c:pt>
                <c:pt idx="53">
                  <c:v>6.9667099999999996E-2</c:v>
                </c:pt>
                <c:pt idx="54">
                  <c:v>5.55422E-2</c:v>
                </c:pt>
                <c:pt idx="55">
                  <c:v>4.2482600000000002E-2</c:v>
                </c:pt>
                <c:pt idx="56">
                  <c:v>3.0453000000000001E-2</c:v>
                </c:pt>
                <c:pt idx="57">
                  <c:v>1.94164E-2</c:v>
                </c:pt>
                <c:pt idx="58">
                  <c:v>9.3341199999999996E-3</c:v>
                </c:pt>
                <c:pt idx="59">
                  <c:v>1.66424E-4</c:v>
                </c:pt>
                <c:pt idx="60">
                  <c:v>-8.1273500000000002E-3</c:v>
                </c:pt>
                <c:pt idx="61">
                  <c:v>-1.5588400000000001E-2</c:v>
                </c:pt>
                <c:pt idx="62">
                  <c:v>-2.2258300000000002E-2</c:v>
                </c:pt>
                <c:pt idx="63">
                  <c:v>-2.8178499999999999E-2</c:v>
                </c:pt>
                <c:pt idx="64">
                  <c:v>-3.3390499999999997E-2</c:v>
                </c:pt>
                <c:pt idx="65">
                  <c:v>-3.7935400000000001E-2</c:v>
                </c:pt>
                <c:pt idx="66">
                  <c:v>-4.1853599999999998E-2</c:v>
                </c:pt>
                <c:pt idx="67">
                  <c:v>-4.5185200000000002E-2</c:v>
                </c:pt>
                <c:pt idx="68">
                  <c:v>-4.7968999999999998E-2</c:v>
                </c:pt>
                <c:pt idx="69">
                  <c:v>-5.0243200000000002E-2</c:v>
                </c:pt>
                <c:pt idx="70">
                  <c:v>-5.2044899999999998E-2</c:v>
                </c:pt>
                <c:pt idx="71">
                  <c:v>-5.3409999999999999E-2</c:v>
                </c:pt>
                <c:pt idx="72">
                  <c:v>-5.4373199999999997E-2</c:v>
                </c:pt>
                <c:pt idx="73">
                  <c:v>-5.49679E-2</c:v>
                </c:pt>
                <c:pt idx="74">
                  <c:v>-5.5226299999999999E-2</c:v>
                </c:pt>
                <c:pt idx="75">
                  <c:v>-5.5179199999999998E-2</c:v>
                </c:pt>
                <c:pt idx="76">
                  <c:v>-5.4856000000000002E-2</c:v>
                </c:pt>
                <c:pt idx="77">
                  <c:v>-5.4284600000000002E-2</c:v>
                </c:pt>
                <c:pt idx="78">
                  <c:v>-5.34916E-2</c:v>
                </c:pt>
                <c:pt idx="79">
                  <c:v>-5.2502199999999999E-2</c:v>
                </c:pt>
                <c:pt idx="80">
                  <c:v>-5.1340200000000003E-2</c:v>
                </c:pt>
                <c:pt idx="81">
                  <c:v>-5.0028000000000003E-2</c:v>
                </c:pt>
                <c:pt idx="82">
                  <c:v>-4.8586600000000001E-2</c:v>
                </c:pt>
                <c:pt idx="83">
                  <c:v>-4.7035500000000001E-2</c:v>
                </c:pt>
                <c:pt idx="84">
                  <c:v>-4.5393299999999998E-2</c:v>
                </c:pt>
                <c:pt idx="85">
                  <c:v>-4.3676899999999998E-2</c:v>
                </c:pt>
                <c:pt idx="86">
                  <c:v>-4.1902099999999998E-2</c:v>
                </c:pt>
                <c:pt idx="87">
                  <c:v>-4.0083599999999997E-2</c:v>
                </c:pt>
                <c:pt idx="88">
                  <c:v>-3.8234700000000003E-2</c:v>
                </c:pt>
                <c:pt idx="89">
                  <c:v>-3.6367799999999999E-2</c:v>
                </c:pt>
                <c:pt idx="90">
                  <c:v>-3.4493999999999997E-2</c:v>
                </c:pt>
                <c:pt idx="91">
                  <c:v>-3.2623600000000003E-2</c:v>
                </c:pt>
                <c:pt idx="92">
                  <c:v>-3.0765799999999999E-2</c:v>
                </c:pt>
                <c:pt idx="93">
                  <c:v>-2.8928800000000001E-2</c:v>
                </c:pt>
                <c:pt idx="94">
                  <c:v>-2.7119899999999999E-2</c:v>
                </c:pt>
                <c:pt idx="95">
                  <c:v>-2.5345699999999999E-2</c:v>
                </c:pt>
                <c:pt idx="96">
                  <c:v>-2.3611799999999999E-2</c:v>
                </c:pt>
                <c:pt idx="97">
                  <c:v>-2.19233E-2</c:v>
                </c:pt>
                <c:pt idx="98">
                  <c:v>-2.02845E-2</c:v>
                </c:pt>
                <c:pt idx="99">
                  <c:v>-1.8698800000000002E-2</c:v>
                </c:pt>
                <c:pt idx="100">
                  <c:v>-1.7169400000000001E-2</c:v>
                </c:pt>
                <c:pt idx="101">
                  <c:v>-1.5698500000000001E-2</c:v>
                </c:pt>
                <c:pt idx="102">
                  <c:v>-1.4288199999999999E-2</c:v>
                </c:pt>
                <c:pt idx="103">
                  <c:v>-1.29398E-2</c:v>
                </c:pt>
                <c:pt idx="104">
                  <c:v>-1.16542E-2</c:v>
                </c:pt>
                <c:pt idx="105">
                  <c:v>-1.0432E-2</c:v>
                </c:pt>
                <c:pt idx="106">
                  <c:v>-9.2733799999999995E-3</c:v>
                </c:pt>
                <c:pt idx="107">
                  <c:v>-8.1781500000000003E-3</c:v>
                </c:pt>
                <c:pt idx="108">
                  <c:v>-7.1458299999999997E-3</c:v>
                </c:pt>
                <c:pt idx="109">
                  <c:v>-6.1756700000000003E-3</c:v>
                </c:pt>
                <c:pt idx="110">
                  <c:v>-5.2666700000000002E-3</c:v>
                </c:pt>
                <c:pt idx="111">
                  <c:v>-4.4176199999999997E-3</c:v>
                </c:pt>
                <c:pt idx="112">
                  <c:v>-3.6271200000000002E-3</c:v>
                </c:pt>
                <c:pt idx="113">
                  <c:v>-2.8936000000000001E-3</c:v>
                </c:pt>
                <c:pt idx="114">
                  <c:v>-2.21536E-3</c:v>
                </c:pt>
                <c:pt idx="115">
                  <c:v>-1.59056E-3</c:v>
                </c:pt>
                <c:pt idx="116">
                  <c:v>-1.0172899999999999E-3</c:v>
                </c:pt>
                <c:pt idx="117">
                  <c:v>-4.9355299999999998E-4</c:v>
                </c:pt>
                <c:pt idx="118" formatCode="0.00E+00">
                  <c:v>-1.7276299999999999E-5</c:v>
                </c:pt>
                <c:pt idx="119">
                  <c:v>4.13643E-4</c:v>
                </c:pt>
                <c:pt idx="120">
                  <c:v>8.0134E-4</c:v>
                </c:pt>
                <c:pt idx="121">
                  <c:v>1.1479699999999999E-3</c:v>
                </c:pt>
                <c:pt idx="122">
                  <c:v>1.45568E-3</c:v>
                </c:pt>
                <c:pt idx="123">
                  <c:v>1.72663E-3</c:v>
                </c:pt>
                <c:pt idx="124">
                  <c:v>1.9629500000000002E-3</c:v>
                </c:pt>
                <c:pt idx="125">
                  <c:v>2.16673E-3</c:v>
                </c:pt>
                <c:pt idx="126">
                  <c:v>2.3400500000000002E-3</c:v>
                </c:pt>
                <c:pt idx="127">
                  <c:v>2.4849300000000002E-3</c:v>
                </c:pt>
                <c:pt idx="128">
                  <c:v>2.60334E-3</c:v>
                </c:pt>
                <c:pt idx="129">
                  <c:v>2.6972200000000002E-3</c:v>
                </c:pt>
                <c:pt idx="130">
                  <c:v>2.7684200000000002E-3</c:v>
                </c:pt>
                <c:pt idx="131">
                  <c:v>2.8187500000000001E-3</c:v>
                </c:pt>
                <c:pt idx="132">
                  <c:v>2.84994E-3</c:v>
                </c:pt>
                <c:pt idx="133">
                  <c:v>2.8636600000000001E-3</c:v>
                </c:pt>
                <c:pt idx="134">
                  <c:v>2.8614999999999999E-3</c:v>
                </c:pt>
                <c:pt idx="135">
                  <c:v>2.8449999999999999E-3</c:v>
                </c:pt>
                <c:pt idx="136">
                  <c:v>2.8156000000000001E-3</c:v>
                </c:pt>
                <c:pt idx="137">
                  <c:v>2.7746899999999998E-3</c:v>
                </c:pt>
                <c:pt idx="138">
                  <c:v>2.7235699999999998E-3</c:v>
                </c:pt>
                <c:pt idx="139">
                  <c:v>2.6634699999999998E-3</c:v>
                </c:pt>
                <c:pt idx="140">
                  <c:v>2.5955700000000002E-3</c:v>
                </c:pt>
                <c:pt idx="141">
                  <c:v>2.5209400000000002E-3</c:v>
                </c:pt>
                <c:pt idx="142">
                  <c:v>2.4406100000000002E-3</c:v>
                </c:pt>
                <c:pt idx="143">
                  <c:v>2.3555300000000002E-3</c:v>
                </c:pt>
                <c:pt idx="144">
                  <c:v>2.2665900000000002E-3</c:v>
                </c:pt>
                <c:pt idx="145">
                  <c:v>2.17461E-3</c:v>
                </c:pt>
                <c:pt idx="146">
                  <c:v>2.0803499999999999E-3</c:v>
                </c:pt>
                <c:pt idx="147">
                  <c:v>1.9845000000000002E-3</c:v>
                </c:pt>
                <c:pt idx="148">
                  <c:v>1.8877E-3</c:v>
                </c:pt>
                <c:pt idx="149">
                  <c:v>1.79054E-3</c:v>
                </c:pt>
                <c:pt idx="150">
                  <c:v>1.69355E-3</c:v>
                </c:pt>
                <c:pt idx="151">
                  <c:v>1.5971900000000001E-3</c:v>
                </c:pt>
                <c:pt idx="152">
                  <c:v>1.50191E-3</c:v>
                </c:pt>
                <c:pt idx="153">
                  <c:v>1.4080799999999999E-3</c:v>
                </c:pt>
                <c:pt idx="154">
                  <c:v>1.3160400000000001E-3</c:v>
                </c:pt>
                <c:pt idx="155">
                  <c:v>1.22609E-3</c:v>
                </c:pt>
                <c:pt idx="156">
                  <c:v>1.1384800000000001E-3</c:v>
                </c:pt>
                <c:pt idx="157">
                  <c:v>1.05345E-3</c:v>
                </c:pt>
                <c:pt idx="158">
                  <c:v>9.7117000000000004E-4</c:v>
                </c:pt>
                <c:pt idx="159">
                  <c:v>8.9180399999999995E-4</c:v>
                </c:pt>
                <c:pt idx="160">
                  <c:v>8.1547399999999995E-4</c:v>
                </c:pt>
                <c:pt idx="161">
                  <c:v>7.4228100000000002E-4</c:v>
                </c:pt>
                <c:pt idx="162">
                  <c:v>6.7229599999999996E-4</c:v>
                </c:pt>
                <c:pt idx="163">
                  <c:v>6.0557000000000004E-4</c:v>
                </c:pt>
                <c:pt idx="164">
                  <c:v>5.4213099999999995E-4</c:v>
                </c:pt>
                <c:pt idx="165">
                  <c:v>4.8198700000000002E-4</c:v>
                </c:pt>
                <c:pt idx="166">
                  <c:v>4.2513199999999999E-4</c:v>
                </c:pt>
                <c:pt idx="167">
                  <c:v>3.7153899999999999E-4</c:v>
                </c:pt>
                <c:pt idx="168">
                  <c:v>3.2117000000000002E-4</c:v>
                </c:pt>
                <c:pt idx="169">
                  <c:v>2.7397400000000002E-4</c:v>
                </c:pt>
                <c:pt idx="170">
                  <c:v>2.2988800000000001E-4</c:v>
                </c:pt>
                <c:pt idx="171">
                  <c:v>1.88839E-4</c:v>
                </c:pt>
                <c:pt idx="172">
                  <c:v>1.5074700000000001E-4</c:v>
                </c:pt>
                <c:pt idx="173">
                  <c:v>1.15523E-4</c:v>
                </c:pt>
                <c:pt idx="174" formatCode="0.00E+00">
                  <c:v>8.30719E-5</c:v>
                </c:pt>
                <c:pt idx="175" formatCode="0.00E+00">
                  <c:v>5.3294999999999997E-5</c:v>
                </c:pt>
                <c:pt idx="176" formatCode="0.00E+00">
                  <c:v>2.6088399999999999E-5</c:v>
                </c:pt>
                <c:pt idx="177" formatCode="0.00E+00">
                  <c:v>1.3450799999999999E-6</c:v>
                </c:pt>
                <c:pt idx="178" formatCode="0.00E+00">
                  <c:v>-2.1044100000000001E-5</c:v>
                </c:pt>
                <c:pt idx="179" formatCode="0.00E+00">
                  <c:v>-4.1189899999999997E-5</c:v>
                </c:pt>
                <c:pt idx="180" formatCode="0.00E+00">
                  <c:v>-5.9203999999999998E-5</c:v>
                </c:pt>
                <c:pt idx="181" formatCode="0.00E+00">
                  <c:v>-7.5197999999999994E-5</c:v>
                </c:pt>
                <c:pt idx="182" formatCode="0.00E+00">
                  <c:v>-8.92835E-5</c:v>
                </c:pt>
                <c:pt idx="183">
                  <c:v>-1.0157099999999999E-4</c:v>
                </c:pt>
                <c:pt idx="184">
                  <c:v>-1.12169E-4</c:v>
                </c:pt>
                <c:pt idx="185">
                  <c:v>-1.21186E-4</c:v>
                </c:pt>
                <c:pt idx="186">
                  <c:v>-1.2872599999999999E-4</c:v>
                </c:pt>
                <c:pt idx="187">
                  <c:v>-1.3489099999999999E-4</c:v>
                </c:pt>
                <c:pt idx="188">
                  <c:v>-1.3978300000000001E-4</c:v>
                </c:pt>
                <c:pt idx="189">
                  <c:v>-1.4349600000000001E-4</c:v>
                </c:pt>
                <c:pt idx="190">
                  <c:v>-1.46126E-4</c:v>
                </c:pt>
                <c:pt idx="191">
                  <c:v>-1.47761E-4</c:v>
                </c:pt>
                <c:pt idx="192">
                  <c:v>-1.4848899999999999E-4</c:v>
                </c:pt>
                <c:pt idx="193">
                  <c:v>-1.48393E-4</c:v>
                </c:pt>
                <c:pt idx="194">
                  <c:v>-1.4755000000000001E-4</c:v>
                </c:pt>
                <c:pt idx="195">
                  <c:v>-1.46038E-4</c:v>
                </c:pt>
                <c:pt idx="196">
                  <c:v>-1.4392699999999999E-4</c:v>
                </c:pt>
                <c:pt idx="197">
                  <c:v>-1.4128599999999999E-4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E-46EE-8E9D-342D8F194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88736"/>
        <c:axId val="120989216"/>
      </c:scatterChart>
      <c:valAx>
        <c:axId val="1209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layout>
            <c:manualLayout>
              <c:xMode val="edge"/>
              <c:yMode val="edge"/>
              <c:x val="0.4866585739282589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89216"/>
        <c:crosses val="autoZero"/>
        <c:crossBetween val="midCat"/>
      </c:valAx>
      <c:valAx>
        <c:axId val="1209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8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7</xdr:row>
      <xdr:rowOff>128587</xdr:rowOff>
    </xdr:from>
    <xdr:to>
      <xdr:col>15</xdr:col>
      <xdr:colOff>523875</xdr:colOff>
      <xdr:row>22</xdr:row>
      <xdr:rowOff>14287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6E7906B-367B-A25C-4F69-4B79A0443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185737</xdr:rowOff>
    </xdr:from>
    <xdr:to>
      <xdr:col>12</xdr:col>
      <xdr:colOff>314325</xdr:colOff>
      <xdr:row>17</xdr:row>
      <xdr:rowOff>71437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B658995-B225-1A5B-9491-389BB5073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17</xdr:row>
      <xdr:rowOff>71437</xdr:rowOff>
    </xdr:from>
    <xdr:to>
      <xdr:col>12</xdr:col>
      <xdr:colOff>314325</xdr:colOff>
      <xdr:row>31</xdr:row>
      <xdr:rowOff>147637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93E34E8-3A7E-6918-511F-DD2F2A557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314325</xdr:colOff>
      <xdr:row>2</xdr:row>
      <xdr:rowOff>185737</xdr:rowOff>
    </xdr:from>
    <xdr:to>
      <xdr:col>20</xdr:col>
      <xdr:colOff>9525</xdr:colOff>
      <xdr:row>17</xdr:row>
      <xdr:rowOff>71437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F5315ED-6CBE-C0E2-B4C7-9B8520815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17</xdr:row>
      <xdr:rowOff>80962</xdr:rowOff>
    </xdr:from>
    <xdr:to>
      <xdr:col>20</xdr:col>
      <xdr:colOff>19050</xdr:colOff>
      <xdr:row>31</xdr:row>
      <xdr:rowOff>157162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462978B1-A987-CE47-BDB6-A5EF6DA17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2"/>
  <sheetViews>
    <sheetView zoomScale="80" zoomScaleNormal="80" workbookViewId="0">
      <selection activeCell="P25" sqref="P25"/>
    </sheetView>
  </sheetViews>
  <sheetFormatPr defaultRowHeight="15"/>
  <cols>
    <col min="1" max="1" width="15.7109375" customWidth="1"/>
    <col min="2" max="2" width="5.7109375" customWidth="1"/>
    <col min="3" max="14" width="15.7109375" customWidth="1"/>
    <col min="16" max="17" width="13.7109375" bestFit="1" customWidth="1"/>
    <col min="18" max="18" width="15.85546875" bestFit="1" customWidth="1"/>
  </cols>
  <sheetData>
    <row r="1" spans="1:20" ht="30" customHeight="1">
      <c r="A1" s="48" t="s">
        <v>4</v>
      </c>
      <c r="B1" s="46" t="s">
        <v>19</v>
      </c>
      <c r="C1" s="46" t="s">
        <v>7</v>
      </c>
      <c r="D1" s="51" t="s">
        <v>16</v>
      </c>
      <c r="E1" s="45" t="s">
        <v>5</v>
      </c>
      <c r="F1" s="46"/>
      <c r="G1" s="46"/>
      <c r="H1" s="46"/>
      <c r="I1" s="51"/>
      <c r="J1" s="45" t="s">
        <v>6</v>
      </c>
      <c r="K1" s="46"/>
      <c r="L1" s="46"/>
      <c r="M1" s="46"/>
      <c r="N1" s="47"/>
    </row>
    <row r="2" spans="1:20" ht="45" customHeight="1" thickBot="1">
      <c r="A2" s="49"/>
      <c r="B2" s="50"/>
      <c r="C2" s="50"/>
      <c r="D2" s="52"/>
      <c r="E2" s="26" t="s">
        <v>8</v>
      </c>
      <c r="F2" s="7" t="s">
        <v>9</v>
      </c>
      <c r="G2" s="27" t="s">
        <v>10</v>
      </c>
      <c r="H2" s="7" t="s">
        <v>0</v>
      </c>
      <c r="I2" s="12" t="s">
        <v>11</v>
      </c>
      <c r="J2" s="26" t="s">
        <v>8</v>
      </c>
      <c r="K2" s="7" t="s">
        <v>9</v>
      </c>
      <c r="L2" s="27" t="s">
        <v>10</v>
      </c>
      <c r="M2" s="7" t="s">
        <v>0</v>
      </c>
      <c r="N2" s="8" t="s">
        <v>11</v>
      </c>
      <c r="P2" s="71" t="s">
        <v>20</v>
      </c>
      <c r="Q2" s="71" t="s">
        <v>21</v>
      </c>
      <c r="R2" s="71" t="s">
        <v>22</v>
      </c>
      <c r="S2" s="71" t="s">
        <v>23</v>
      </c>
    </row>
    <row r="3" spans="1:20">
      <c r="A3" s="40">
        <v>0.01</v>
      </c>
      <c r="B3" s="5">
        <v>1</v>
      </c>
      <c r="C3" s="67">
        <v>-0.04</v>
      </c>
      <c r="D3" s="67">
        <v>-0.1</v>
      </c>
      <c r="E3" s="69">
        <v>-2.7755599999999997E-17</v>
      </c>
      <c r="F3" s="69">
        <v>-8.6736199999999993E-18</v>
      </c>
      <c r="G3" s="73">
        <v>0</v>
      </c>
      <c r="H3" s="64">
        <v>124</v>
      </c>
      <c r="I3" s="68" t="str">
        <f>IF(AND(E3&gt;-0.1,E3&lt;0.1,F3&gt;-0.1,F3&lt;0.1),"TAK","NIE")</f>
        <v>TAK</v>
      </c>
      <c r="J3" s="69">
        <v>3.32705E-9</v>
      </c>
      <c r="K3" s="69">
        <v>-7.5576799999999995E-9</v>
      </c>
      <c r="L3" s="64">
        <v>2.22045E-15</v>
      </c>
      <c r="M3" s="65">
        <v>273</v>
      </c>
      <c r="N3" s="6" t="str">
        <f>IF(AND(J3&gt;-0.1,J3&lt;0.1,K3&gt;-0.1,K3&lt;0.1),"TAK","NIE")</f>
        <v>TAK</v>
      </c>
      <c r="P3">
        <f>AVERAGEIF(I3:I102,"TAK",E3:E102)</f>
        <v>-1.0808706153846156E-17</v>
      </c>
      <c r="Q3">
        <f>AVERAGEIF(I3:I102,"TAK",F3:F102)</f>
        <v>-4.256738461538462E-17</v>
      </c>
      <c r="R3" s="72">
        <f>AVERAGEIF(I3:I102,"TAK",G3:G102)</f>
        <v>0</v>
      </c>
      <c r="S3">
        <f>AVERAGEIF(I3:I102,"TAK",H3:H102)</f>
        <v>153.76923076923077</v>
      </c>
      <c r="T3">
        <f>COUNTIF(I3:I102,"TAK")</f>
        <v>13</v>
      </c>
    </row>
    <row r="4" spans="1:20">
      <c r="A4" s="41"/>
      <c r="B4" s="1">
        <v>2</v>
      </c>
      <c r="C4" s="66">
        <v>-0.95</v>
      </c>
      <c r="D4" s="66">
        <v>0.48</v>
      </c>
      <c r="E4" s="66">
        <v>-0.77514000000000005</v>
      </c>
      <c r="F4" s="66">
        <v>0.77514000000000005</v>
      </c>
      <c r="G4" s="66">
        <v>1.24089</v>
      </c>
      <c r="H4" s="66">
        <v>247</v>
      </c>
      <c r="I4" s="68" t="str">
        <f t="shared" ref="I4:I67" si="0">IF(AND(E4&gt;-0.1,E4&lt;0.1,F4&gt;-0.1,F4&lt;0.1),"TAK","NIE")</f>
        <v>NIE</v>
      </c>
      <c r="J4" s="66">
        <v>-0.775084</v>
      </c>
      <c r="K4" s="66">
        <v>0.775084</v>
      </c>
      <c r="L4" s="66">
        <v>1.24089</v>
      </c>
      <c r="M4" s="66">
        <v>129</v>
      </c>
      <c r="N4" s="6" t="str">
        <f t="shared" ref="N4:N67" si="1">IF(AND(J4&gt;-0.1,J4&lt;0.1,K4&gt;-0.1,K4&lt;0.1),"TAK","NIE")</f>
        <v>NIE</v>
      </c>
      <c r="O4" s="74">
        <v>1</v>
      </c>
    </row>
    <row r="5" spans="1:20">
      <c r="A5" s="41"/>
      <c r="B5" s="1">
        <v>3</v>
      </c>
      <c r="C5" s="67">
        <v>0.87</v>
      </c>
      <c r="D5" s="67">
        <v>0.49</v>
      </c>
      <c r="E5" s="67">
        <v>0.77514000000000005</v>
      </c>
      <c r="F5" s="67">
        <v>0.77514000000000005</v>
      </c>
      <c r="G5" s="67">
        <v>1.24089</v>
      </c>
      <c r="H5" s="67">
        <v>242</v>
      </c>
      <c r="I5" s="68" t="str">
        <f t="shared" si="0"/>
        <v>NIE</v>
      </c>
      <c r="J5" s="67">
        <v>0.77508299999999997</v>
      </c>
      <c r="K5" s="67">
        <v>0.775084</v>
      </c>
      <c r="L5" s="67">
        <v>1.24089</v>
      </c>
      <c r="M5" s="67">
        <v>201</v>
      </c>
      <c r="N5" s="6" t="str">
        <f t="shared" si="1"/>
        <v>NIE</v>
      </c>
    </row>
    <row r="6" spans="1:20">
      <c r="A6" s="41"/>
      <c r="B6" s="1">
        <v>4</v>
      </c>
      <c r="C6" s="66">
        <v>0.02</v>
      </c>
      <c r="D6" s="66">
        <v>-0.87</v>
      </c>
      <c r="E6" s="70">
        <v>1.73472E-17</v>
      </c>
      <c r="F6" s="66">
        <v>-0.77514000000000005</v>
      </c>
      <c r="G6" s="66">
        <v>0.62044600000000005</v>
      </c>
      <c r="H6" s="66">
        <v>234</v>
      </c>
      <c r="I6" s="68" t="str">
        <f t="shared" si="0"/>
        <v>NIE</v>
      </c>
      <c r="J6" s="70">
        <v>7.9034100000000003E-6</v>
      </c>
      <c r="K6" s="66">
        <v>-0.77508500000000002</v>
      </c>
      <c r="L6" s="66">
        <v>0.62044600000000005</v>
      </c>
      <c r="M6" s="66">
        <v>105</v>
      </c>
      <c r="N6" s="6" t="str">
        <f t="shared" si="1"/>
        <v>NIE</v>
      </c>
      <c r="P6">
        <f>AVERAGEIF(N3:N102,"TAK",J3:J102)</f>
        <v>1.3884549230769236E-8</v>
      </c>
      <c r="Q6">
        <f>AVERAGEIF(N3:N102,"TAK",K3:K102)</f>
        <v>-6.6363832307692274E-9</v>
      </c>
      <c r="R6">
        <f>AVERAGEIF(N3:N102,"TAK",L3:L102)</f>
        <v>5.2114889303846152E-12</v>
      </c>
      <c r="S6">
        <f>AVERAGEIF(N3:N102,"TAK",M3:M102)</f>
        <v>226.38461538461539</v>
      </c>
      <c r="T6">
        <f>COUNTIF(N3:N102,"TAK")</f>
        <v>13</v>
      </c>
    </row>
    <row r="7" spans="1:20">
      <c r="A7" s="41"/>
      <c r="B7" s="1">
        <v>5</v>
      </c>
      <c r="C7" s="67">
        <v>0.28000000000000003</v>
      </c>
      <c r="D7" s="67">
        <v>-0.86</v>
      </c>
      <c r="E7" s="69">
        <v>-1.8561500000000001E-16</v>
      </c>
      <c r="F7" s="67">
        <v>-0.77514000000000005</v>
      </c>
      <c r="G7" s="67">
        <v>0.62044600000000005</v>
      </c>
      <c r="H7" s="67">
        <v>248</v>
      </c>
      <c r="I7" s="68" t="str">
        <f t="shared" si="0"/>
        <v>NIE</v>
      </c>
      <c r="J7" s="69">
        <v>-1.45962E-8</v>
      </c>
      <c r="K7" s="67">
        <v>-0.77508299999999997</v>
      </c>
      <c r="L7" s="67">
        <v>0.62044600000000005</v>
      </c>
      <c r="M7" s="67">
        <v>251</v>
      </c>
      <c r="N7" s="6" t="str">
        <f t="shared" si="1"/>
        <v>NIE</v>
      </c>
    </row>
    <row r="8" spans="1:20">
      <c r="A8" s="41"/>
      <c r="B8" s="1">
        <v>6</v>
      </c>
      <c r="C8" s="66">
        <v>-0.39</v>
      </c>
      <c r="D8" s="66">
        <v>0.3</v>
      </c>
      <c r="E8" s="70">
        <v>2.7582099999999998E-16</v>
      </c>
      <c r="F8" s="70">
        <v>-2.04697E-16</v>
      </c>
      <c r="G8" s="66">
        <v>0</v>
      </c>
      <c r="H8" s="66">
        <v>160</v>
      </c>
      <c r="I8" s="68" t="str">
        <f t="shared" si="0"/>
        <v>TAK</v>
      </c>
      <c r="J8" s="70">
        <v>3.7835199999999999E-8</v>
      </c>
      <c r="K8" s="70">
        <v>1.7919599999999999E-8</v>
      </c>
      <c r="L8" s="70">
        <v>5.5733199999999998E-14</v>
      </c>
      <c r="M8" s="66">
        <v>221</v>
      </c>
      <c r="N8" s="6" t="str">
        <f t="shared" si="1"/>
        <v>TAK</v>
      </c>
    </row>
    <row r="9" spans="1:20">
      <c r="A9" s="41"/>
      <c r="B9" s="1">
        <v>7</v>
      </c>
      <c r="C9" s="67">
        <v>0.68</v>
      </c>
      <c r="D9" s="67">
        <v>-0.88</v>
      </c>
      <c r="E9" s="67">
        <v>0.77514000000000005</v>
      </c>
      <c r="F9" s="67">
        <v>-0.77514000000000005</v>
      </c>
      <c r="G9" s="67">
        <v>1.24089</v>
      </c>
      <c r="H9" s="67">
        <v>218</v>
      </c>
      <c r="I9" s="68" t="str">
        <f t="shared" si="0"/>
        <v>NIE</v>
      </c>
      <c r="J9" s="67">
        <v>0.77508299999999997</v>
      </c>
      <c r="K9" s="67">
        <v>-0.775084</v>
      </c>
      <c r="L9" s="67">
        <v>1.24089</v>
      </c>
      <c r="M9" s="67">
        <v>255</v>
      </c>
      <c r="N9" s="6" t="str">
        <f t="shared" si="1"/>
        <v>NIE</v>
      </c>
      <c r="O9" s="75">
        <v>2</v>
      </c>
      <c r="P9">
        <f>AVERAGEIF(I103:I202,"TAK",E103:E202)</f>
        <v>-5.4932714666666674E-17</v>
      </c>
      <c r="Q9">
        <f>AVERAGEIF(I103:I202,"TAK",F103:F202)</f>
        <v>4.9902188666666677E-17</v>
      </c>
      <c r="R9">
        <f>AVERAGEIF(I103:I202,"TAK",G103:G202)</f>
        <v>0</v>
      </c>
      <c r="S9">
        <f>AVERAGEIF(I103:I202,"TAK",H103:H202)</f>
        <v>193.4</v>
      </c>
      <c r="T9">
        <f>COUNTIF(I103:I202,"TAK")</f>
        <v>15</v>
      </c>
    </row>
    <row r="10" spans="1:20">
      <c r="A10" s="41"/>
      <c r="B10" s="1">
        <v>8</v>
      </c>
      <c r="C10" s="66">
        <v>0.36</v>
      </c>
      <c r="D10" s="66">
        <v>-0.61</v>
      </c>
      <c r="E10" s="70">
        <v>-1.8561500000000001E-16</v>
      </c>
      <c r="F10" s="66">
        <v>-0.77514000000000005</v>
      </c>
      <c r="G10" s="66">
        <v>0.62044600000000005</v>
      </c>
      <c r="H10" s="66">
        <v>284</v>
      </c>
      <c r="I10" s="68" t="str">
        <f t="shared" si="0"/>
        <v>NIE</v>
      </c>
      <c r="J10" s="70">
        <v>1.8309100000000001E-7</v>
      </c>
      <c r="K10" s="66">
        <v>-0.77508299999999997</v>
      </c>
      <c r="L10" s="66">
        <v>0.62044600000000005</v>
      </c>
      <c r="M10" s="66">
        <v>221</v>
      </c>
      <c r="N10" s="6" t="str">
        <f t="shared" si="1"/>
        <v>NIE</v>
      </c>
    </row>
    <row r="11" spans="1:20">
      <c r="A11" s="41"/>
      <c r="B11" s="1">
        <v>9</v>
      </c>
      <c r="C11" s="67">
        <v>0.98</v>
      </c>
      <c r="D11" s="67">
        <v>0.69</v>
      </c>
      <c r="E11" s="67">
        <v>0.77514000000000005</v>
      </c>
      <c r="F11" s="67">
        <v>0.77514000000000005</v>
      </c>
      <c r="G11" s="67">
        <v>1.24089</v>
      </c>
      <c r="H11" s="67">
        <v>246</v>
      </c>
      <c r="I11" s="68" t="str">
        <f t="shared" si="0"/>
        <v>NIE</v>
      </c>
      <c r="J11" s="67">
        <v>0.77508299999999997</v>
      </c>
      <c r="K11" s="67">
        <v>0.77508299999999997</v>
      </c>
      <c r="L11" s="67">
        <v>1.24089</v>
      </c>
      <c r="M11" s="67">
        <v>145</v>
      </c>
      <c r="N11" s="6" t="str">
        <f t="shared" si="1"/>
        <v>NIE</v>
      </c>
      <c r="P11">
        <f>AVERAGEIF(N103:N202,"TAK",J103:J202)</f>
        <v>1.0164553320933333E-4</v>
      </c>
      <c r="Q11">
        <f>AVERAGEIF(N103:N202,"TAK",K103:K202)</f>
        <v>-1.1690448182933335E-6</v>
      </c>
      <c r="R11">
        <f>AVERAGEIF(N103:N202,"TAK",L103:L202)</f>
        <v>2.7931832280378636E-6</v>
      </c>
      <c r="S11">
        <f>AVERAGEIF(N103:N202,"TAK",M103:M202)</f>
        <v>185.8</v>
      </c>
      <c r="T11">
        <f>COUNTIF(N103:N202,"TAK")</f>
        <v>15</v>
      </c>
    </row>
    <row r="12" spans="1:20">
      <c r="A12" s="41"/>
      <c r="B12" s="1">
        <v>10</v>
      </c>
      <c r="C12" s="66">
        <v>-0.6</v>
      </c>
      <c r="D12" s="66">
        <v>-0.6</v>
      </c>
      <c r="E12" s="66">
        <v>-0.77514000000000005</v>
      </c>
      <c r="F12" s="66">
        <v>-0.77514000000000005</v>
      </c>
      <c r="G12" s="66">
        <v>1.24089</v>
      </c>
      <c r="H12" s="66">
        <v>240</v>
      </c>
      <c r="I12" s="68" t="str">
        <f t="shared" si="0"/>
        <v>NIE</v>
      </c>
      <c r="J12" s="66">
        <v>-0.77668499999999996</v>
      </c>
      <c r="K12" s="66">
        <v>-0.77668499999999996</v>
      </c>
      <c r="L12" s="66">
        <v>1.24105</v>
      </c>
      <c r="M12" s="66">
        <v>29</v>
      </c>
      <c r="N12" s="6" t="str">
        <f t="shared" si="1"/>
        <v>NIE</v>
      </c>
    </row>
    <row r="13" spans="1:20">
      <c r="A13" s="41"/>
      <c r="B13" s="1">
        <v>11</v>
      </c>
      <c r="C13" s="67">
        <v>0.37</v>
      </c>
      <c r="D13" s="67">
        <v>0.22</v>
      </c>
      <c r="E13" s="69">
        <v>-1.7694200000000001E-16</v>
      </c>
      <c r="F13" s="69">
        <v>-1.9255399999999999E-16</v>
      </c>
      <c r="G13" s="67">
        <v>0</v>
      </c>
      <c r="H13" s="67">
        <v>167</v>
      </c>
      <c r="I13" s="68" t="str">
        <f t="shared" si="0"/>
        <v>TAK</v>
      </c>
      <c r="J13" s="69">
        <v>-2.7123800000000001E-9</v>
      </c>
      <c r="K13" s="69">
        <v>4.92167E-8</v>
      </c>
      <c r="L13" s="69">
        <v>7.7271500000000003E-14</v>
      </c>
      <c r="M13" s="67">
        <v>271</v>
      </c>
      <c r="N13" s="6" t="str">
        <f t="shared" si="1"/>
        <v>TAK</v>
      </c>
    </row>
    <row r="14" spans="1:20">
      <c r="A14" s="41"/>
      <c r="B14" s="1">
        <v>12</v>
      </c>
      <c r="C14" s="66">
        <v>-0.83</v>
      </c>
      <c r="D14" s="66">
        <v>0.5</v>
      </c>
      <c r="E14" s="66">
        <v>-0.77514000000000005</v>
      </c>
      <c r="F14" s="66">
        <v>0.77514000000000005</v>
      </c>
      <c r="G14" s="66">
        <v>1.24089</v>
      </c>
      <c r="H14" s="66">
        <v>231</v>
      </c>
      <c r="I14" s="68" t="str">
        <f t="shared" si="0"/>
        <v>NIE</v>
      </c>
      <c r="J14" s="66">
        <v>-0.77508299999999997</v>
      </c>
      <c r="K14" s="66">
        <v>0.77508299999999997</v>
      </c>
      <c r="L14" s="66">
        <v>1.24089</v>
      </c>
      <c r="M14" s="66">
        <v>171</v>
      </c>
      <c r="N14" s="6" t="str">
        <f t="shared" si="1"/>
        <v>NIE</v>
      </c>
    </row>
    <row r="15" spans="1:20">
      <c r="A15" s="41"/>
      <c r="B15" s="1">
        <v>13</v>
      </c>
      <c r="C15" s="67">
        <v>-0.79</v>
      </c>
      <c r="D15" s="67">
        <v>0.13</v>
      </c>
      <c r="E15" s="67">
        <v>-0.77514000000000005</v>
      </c>
      <c r="F15" s="69">
        <v>-5.0307000000000002E-17</v>
      </c>
      <c r="G15" s="67">
        <v>0.62044600000000005</v>
      </c>
      <c r="H15" s="67">
        <v>240</v>
      </c>
      <c r="I15" s="68" t="str">
        <f t="shared" si="0"/>
        <v>NIE</v>
      </c>
      <c r="J15" s="67">
        <v>-0.775084</v>
      </c>
      <c r="K15" s="69">
        <v>7.4637399999999997E-9</v>
      </c>
      <c r="L15" s="67">
        <v>0.62044600000000005</v>
      </c>
      <c r="M15" s="67">
        <v>209</v>
      </c>
      <c r="N15" s="6" t="str">
        <f t="shared" si="1"/>
        <v>NIE</v>
      </c>
    </row>
    <row r="16" spans="1:20">
      <c r="A16" s="41"/>
      <c r="B16" s="1">
        <v>14</v>
      </c>
      <c r="C16" s="66">
        <v>-0.28999999999999998</v>
      </c>
      <c r="D16" s="66">
        <v>-0.96</v>
      </c>
      <c r="E16" s="70">
        <v>1.7694200000000001E-16</v>
      </c>
      <c r="F16" s="66">
        <v>-0.77514000000000005</v>
      </c>
      <c r="G16" s="66">
        <v>0.62044600000000005</v>
      </c>
      <c r="H16" s="66">
        <v>258</v>
      </c>
      <c r="I16" s="68" t="str">
        <f t="shared" si="0"/>
        <v>NIE</v>
      </c>
      <c r="J16" s="70">
        <v>-1.85358E-8</v>
      </c>
      <c r="K16" s="66">
        <v>-0.77508299999999997</v>
      </c>
      <c r="L16" s="66">
        <v>0.62044600000000005</v>
      </c>
      <c r="M16" s="66">
        <v>197</v>
      </c>
      <c r="N16" s="6" t="str">
        <f t="shared" si="1"/>
        <v>NIE</v>
      </c>
    </row>
    <row r="17" spans="1:14">
      <c r="A17" s="41"/>
      <c r="B17" s="1">
        <v>15</v>
      </c>
      <c r="C17" s="67">
        <v>-0.05</v>
      </c>
      <c r="D17" s="67">
        <v>0.47</v>
      </c>
      <c r="E17" s="69">
        <v>-2.0816700000000001E-17</v>
      </c>
      <c r="F17" s="67">
        <v>0.77514000000000005</v>
      </c>
      <c r="G17" s="67">
        <v>0.62044600000000005</v>
      </c>
      <c r="H17" s="67">
        <v>256</v>
      </c>
      <c r="I17" s="68" t="str">
        <f t="shared" si="0"/>
        <v>NIE</v>
      </c>
      <c r="J17" s="69">
        <v>1.9262599999999999E-7</v>
      </c>
      <c r="K17" s="67">
        <v>0.775084</v>
      </c>
      <c r="L17" s="67">
        <v>0.62044600000000005</v>
      </c>
      <c r="M17" s="67">
        <v>163</v>
      </c>
      <c r="N17" s="6" t="str">
        <f t="shared" si="1"/>
        <v>NIE</v>
      </c>
    </row>
    <row r="18" spans="1:14">
      <c r="A18" s="41"/>
      <c r="B18" s="1">
        <v>16</v>
      </c>
      <c r="C18" s="66">
        <v>0.97</v>
      </c>
      <c r="D18" s="66">
        <v>0.91</v>
      </c>
      <c r="E18" s="66">
        <v>0.77514000000000005</v>
      </c>
      <c r="F18" s="66">
        <v>0.77514000000000005</v>
      </c>
      <c r="G18" s="66">
        <v>1.24089</v>
      </c>
      <c r="H18" s="66">
        <v>245</v>
      </c>
      <c r="I18" s="68" t="str">
        <f t="shared" si="0"/>
        <v>NIE</v>
      </c>
      <c r="J18" s="66">
        <v>0.77508299999999997</v>
      </c>
      <c r="K18" s="66">
        <v>0.77508299999999997</v>
      </c>
      <c r="L18" s="66">
        <v>1.24089</v>
      </c>
      <c r="M18" s="66">
        <v>229</v>
      </c>
      <c r="N18" s="6" t="str">
        <f t="shared" si="1"/>
        <v>NIE</v>
      </c>
    </row>
    <row r="19" spans="1:14">
      <c r="A19" s="41"/>
      <c r="B19" s="1">
        <v>17</v>
      </c>
      <c r="C19" s="67">
        <v>0.9</v>
      </c>
      <c r="D19" s="67">
        <v>-0.97</v>
      </c>
      <c r="E19" s="67">
        <v>0.77514000000000005</v>
      </c>
      <c r="F19" s="67">
        <v>-0.77514000000000005</v>
      </c>
      <c r="G19" s="67">
        <v>1.24089</v>
      </c>
      <c r="H19" s="67">
        <v>241</v>
      </c>
      <c r="I19" s="68" t="str">
        <f t="shared" si="0"/>
        <v>NIE</v>
      </c>
      <c r="J19" s="67">
        <v>0.775084</v>
      </c>
      <c r="K19" s="67">
        <v>-0.775084</v>
      </c>
      <c r="L19" s="67">
        <v>1.24089</v>
      </c>
      <c r="M19" s="67">
        <v>269</v>
      </c>
      <c r="N19" s="6" t="str">
        <f t="shared" si="1"/>
        <v>NIE</v>
      </c>
    </row>
    <row r="20" spans="1:14">
      <c r="A20" s="41"/>
      <c r="B20" s="1">
        <v>18</v>
      </c>
      <c r="C20" s="66">
        <v>-0.09</v>
      </c>
      <c r="D20" s="66">
        <v>0.77</v>
      </c>
      <c r="E20" s="70">
        <v>2.0816700000000001E-17</v>
      </c>
      <c r="F20" s="66">
        <v>0.77514000000000005</v>
      </c>
      <c r="G20" s="66">
        <v>0.62044600000000005</v>
      </c>
      <c r="H20" s="66">
        <v>234</v>
      </c>
      <c r="I20" s="68" t="str">
        <f t="shared" si="0"/>
        <v>NIE</v>
      </c>
      <c r="J20" s="70">
        <v>-2.9832099999999998E-8</v>
      </c>
      <c r="K20" s="66">
        <v>0.77508299999999997</v>
      </c>
      <c r="L20" s="66">
        <v>0.62044600000000005</v>
      </c>
      <c r="M20" s="66">
        <v>179</v>
      </c>
      <c r="N20" s="6" t="str">
        <f t="shared" si="1"/>
        <v>NIE</v>
      </c>
    </row>
    <row r="21" spans="1:14">
      <c r="A21" s="41"/>
      <c r="B21" s="1">
        <v>19</v>
      </c>
      <c r="C21" s="67">
        <v>0.04</v>
      </c>
      <c r="D21" s="67">
        <v>0.45</v>
      </c>
      <c r="E21" s="69">
        <v>2.0816700000000001E-17</v>
      </c>
      <c r="F21" s="67">
        <v>0.77514000000000005</v>
      </c>
      <c r="G21" s="67">
        <v>0.62044600000000005</v>
      </c>
      <c r="H21" s="67">
        <v>258</v>
      </c>
      <c r="I21" s="68" t="str">
        <f t="shared" si="0"/>
        <v>NIE</v>
      </c>
      <c r="J21" s="69">
        <v>1.33662E-6</v>
      </c>
      <c r="K21" s="67">
        <v>0.77507999999999999</v>
      </c>
      <c r="L21" s="67">
        <v>0.62044600000000005</v>
      </c>
      <c r="M21" s="67">
        <v>173</v>
      </c>
      <c r="N21" s="6" t="str">
        <f t="shared" si="1"/>
        <v>NIE</v>
      </c>
    </row>
    <row r="22" spans="1:14">
      <c r="A22" s="41"/>
      <c r="B22" s="1">
        <v>20</v>
      </c>
      <c r="C22" s="66">
        <v>0.43</v>
      </c>
      <c r="D22" s="66">
        <v>0.84</v>
      </c>
      <c r="E22" s="66">
        <v>0.77514000000000005</v>
      </c>
      <c r="F22" s="66">
        <v>0.77514000000000005</v>
      </c>
      <c r="G22" s="66">
        <v>1.24089</v>
      </c>
      <c r="H22" s="66">
        <v>234</v>
      </c>
      <c r="I22" s="68" t="str">
        <f t="shared" si="0"/>
        <v>NIE</v>
      </c>
      <c r="J22" s="66">
        <v>0.77508299999999997</v>
      </c>
      <c r="K22" s="66">
        <v>0.77508299999999997</v>
      </c>
      <c r="L22" s="66">
        <v>1.24089</v>
      </c>
      <c r="M22" s="66">
        <v>195</v>
      </c>
      <c r="N22" s="6" t="str">
        <f t="shared" si="1"/>
        <v>NIE</v>
      </c>
    </row>
    <row r="23" spans="1:14">
      <c r="A23" s="41"/>
      <c r="B23" s="1">
        <v>21</v>
      </c>
      <c r="C23" s="67">
        <v>0.59</v>
      </c>
      <c r="D23" s="67">
        <v>-0.96</v>
      </c>
      <c r="E23" s="67">
        <v>0.77514000000000005</v>
      </c>
      <c r="F23" s="67">
        <v>-0.77514000000000005</v>
      </c>
      <c r="G23" s="67">
        <v>1.24089</v>
      </c>
      <c r="H23" s="67">
        <v>235</v>
      </c>
      <c r="I23" s="68" t="str">
        <f t="shared" si="0"/>
        <v>NIE</v>
      </c>
      <c r="J23" s="67">
        <v>0.77508299999999997</v>
      </c>
      <c r="K23" s="67">
        <v>-0.77508299999999997</v>
      </c>
      <c r="L23" s="67">
        <v>1.24089</v>
      </c>
      <c r="M23" s="67">
        <v>213</v>
      </c>
      <c r="N23" s="6" t="str">
        <f t="shared" si="1"/>
        <v>NIE</v>
      </c>
    </row>
    <row r="24" spans="1:14">
      <c r="A24" s="41"/>
      <c r="B24" s="1">
        <v>22</v>
      </c>
      <c r="C24" s="66">
        <v>-0.34</v>
      </c>
      <c r="D24" s="66">
        <v>-0.2</v>
      </c>
      <c r="E24" s="70">
        <v>3.2786300000000002E-16</v>
      </c>
      <c r="F24" s="70">
        <v>2.0122800000000001E-16</v>
      </c>
      <c r="G24" s="66">
        <v>0</v>
      </c>
      <c r="H24" s="66">
        <v>170</v>
      </c>
      <c r="I24" s="68" t="str">
        <f t="shared" si="0"/>
        <v>TAK</v>
      </c>
      <c r="J24" s="70">
        <v>2.6972199999999999E-9</v>
      </c>
      <c r="K24" s="70">
        <v>-3.1346199999999999E-10</v>
      </c>
      <c r="L24" s="70">
        <v>2.2204499999999999E-16</v>
      </c>
      <c r="M24" s="66">
        <v>145</v>
      </c>
      <c r="N24" s="6" t="str">
        <f t="shared" si="1"/>
        <v>TAK</v>
      </c>
    </row>
    <row r="25" spans="1:14">
      <c r="A25" s="41"/>
      <c r="B25" s="1">
        <v>23</v>
      </c>
      <c r="C25" s="67">
        <v>0.68</v>
      </c>
      <c r="D25" s="67">
        <v>0.54</v>
      </c>
      <c r="E25" s="67">
        <v>0.77514000000000005</v>
      </c>
      <c r="F25" s="67">
        <v>0.77514000000000005</v>
      </c>
      <c r="G25" s="67">
        <v>1.24089</v>
      </c>
      <c r="H25" s="67">
        <v>252</v>
      </c>
      <c r="I25" s="68" t="str">
        <f t="shared" si="0"/>
        <v>NIE</v>
      </c>
      <c r="J25" s="67">
        <v>0.77508299999999997</v>
      </c>
      <c r="K25" s="67">
        <v>0.775084</v>
      </c>
      <c r="L25" s="67">
        <v>1.24089</v>
      </c>
      <c r="M25" s="67">
        <v>147</v>
      </c>
      <c r="N25" s="6" t="str">
        <f t="shared" si="1"/>
        <v>NIE</v>
      </c>
    </row>
    <row r="26" spans="1:14">
      <c r="A26" s="41"/>
      <c r="B26" s="1">
        <v>24</v>
      </c>
      <c r="C26" s="66">
        <v>-0.28999999999999998</v>
      </c>
      <c r="D26" s="66">
        <v>0.66</v>
      </c>
      <c r="E26" s="70">
        <v>1.7694200000000001E-16</v>
      </c>
      <c r="F26" s="66">
        <v>0.77514000000000005</v>
      </c>
      <c r="G26" s="66">
        <v>0.62044600000000005</v>
      </c>
      <c r="H26" s="66">
        <v>259</v>
      </c>
      <c r="I26" s="68" t="str">
        <f t="shared" si="0"/>
        <v>NIE</v>
      </c>
      <c r="J26" s="70">
        <v>-2.62152E-7</v>
      </c>
      <c r="K26" s="66">
        <v>0.77508299999999997</v>
      </c>
      <c r="L26" s="66">
        <v>0.62044600000000005</v>
      </c>
      <c r="M26" s="66">
        <v>219</v>
      </c>
      <c r="N26" s="6" t="str">
        <f t="shared" si="1"/>
        <v>NIE</v>
      </c>
    </row>
    <row r="27" spans="1:14">
      <c r="A27" s="41"/>
      <c r="B27" s="1">
        <v>25</v>
      </c>
      <c r="C27" s="67">
        <v>0.24</v>
      </c>
      <c r="D27" s="67">
        <v>0.11</v>
      </c>
      <c r="E27" s="69">
        <v>-1.6479899999999999E-16</v>
      </c>
      <c r="F27" s="69">
        <v>1.4918599999999999E-16</v>
      </c>
      <c r="G27" s="67">
        <v>0</v>
      </c>
      <c r="H27" s="67">
        <v>157</v>
      </c>
      <c r="I27" s="68" t="str">
        <f t="shared" si="0"/>
        <v>TAK</v>
      </c>
      <c r="J27" s="69">
        <v>-5.2364699999999998E-7</v>
      </c>
      <c r="K27" s="69">
        <v>2.0651399999999999E-7</v>
      </c>
      <c r="L27" s="69">
        <v>1.00795E-11</v>
      </c>
      <c r="M27" s="67">
        <v>213</v>
      </c>
      <c r="N27" s="6" t="str">
        <f t="shared" si="1"/>
        <v>TAK</v>
      </c>
    </row>
    <row r="28" spans="1:14">
      <c r="A28" s="41"/>
      <c r="B28" s="1">
        <v>26</v>
      </c>
      <c r="C28" s="66">
        <v>-0.93</v>
      </c>
      <c r="D28" s="66">
        <v>-0.87</v>
      </c>
      <c r="E28" s="66">
        <v>-0.77514000000000005</v>
      </c>
      <c r="F28" s="66">
        <v>-0.77514000000000005</v>
      </c>
      <c r="G28" s="66">
        <v>1.24089</v>
      </c>
      <c r="H28" s="66">
        <v>237</v>
      </c>
      <c r="I28" s="68" t="str">
        <f t="shared" si="0"/>
        <v>NIE</v>
      </c>
      <c r="J28" s="66">
        <v>-0.77508299999999997</v>
      </c>
      <c r="K28" s="66">
        <v>-0.775084</v>
      </c>
      <c r="L28" s="66">
        <v>1.24089</v>
      </c>
      <c r="M28" s="66">
        <v>183</v>
      </c>
      <c r="N28" s="6" t="str">
        <f t="shared" si="1"/>
        <v>NIE</v>
      </c>
    </row>
    <row r="29" spans="1:14">
      <c r="A29" s="41"/>
      <c r="B29" s="1">
        <v>27</v>
      </c>
      <c r="C29" s="67">
        <v>0.85</v>
      </c>
      <c r="D29" s="67">
        <v>0.76</v>
      </c>
      <c r="E29" s="67">
        <v>0.77514000000000005</v>
      </c>
      <c r="F29" s="67">
        <v>0.77514000000000005</v>
      </c>
      <c r="G29" s="67">
        <v>1.24089</v>
      </c>
      <c r="H29" s="67">
        <v>232</v>
      </c>
      <c r="I29" s="68" t="str">
        <f t="shared" si="0"/>
        <v>NIE</v>
      </c>
      <c r="J29" s="67">
        <v>0.775084</v>
      </c>
      <c r="K29" s="67">
        <v>0.77508299999999997</v>
      </c>
      <c r="L29" s="67">
        <v>1.24089</v>
      </c>
      <c r="M29" s="67">
        <v>231</v>
      </c>
      <c r="N29" s="6" t="str">
        <f t="shared" si="1"/>
        <v>NIE</v>
      </c>
    </row>
    <row r="30" spans="1:14">
      <c r="A30" s="41"/>
      <c r="B30" s="1">
        <v>28</v>
      </c>
      <c r="C30" s="66">
        <v>0.63</v>
      </c>
      <c r="D30" s="66">
        <v>-0.93</v>
      </c>
      <c r="E30" s="66">
        <v>0.77514000000000005</v>
      </c>
      <c r="F30" s="66">
        <v>-0.77514000000000005</v>
      </c>
      <c r="G30" s="66">
        <v>1.24089</v>
      </c>
      <c r="H30" s="66">
        <v>221</v>
      </c>
      <c r="I30" s="68" t="str">
        <f t="shared" si="0"/>
        <v>NIE</v>
      </c>
      <c r="J30" s="66">
        <v>0.77508299999999997</v>
      </c>
      <c r="K30" s="66">
        <v>-0.77508299999999997</v>
      </c>
      <c r="L30" s="66">
        <v>1.24089</v>
      </c>
      <c r="M30" s="66">
        <v>217</v>
      </c>
      <c r="N30" s="6" t="str">
        <f t="shared" si="1"/>
        <v>NIE</v>
      </c>
    </row>
    <row r="31" spans="1:14">
      <c r="A31" s="41"/>
      <c r="B31" s="1">
        <v>29</v>
      </c>
      <c r="C31" s="67">
        <v>-0.59</v>
      </c>
      <c r="D31" s="67">
        <v>-0.65</v>
      </c>
      <c r="E31" s="67">
        <v>-0.77514000000000005</v>
      </c>
      <c r="F31" s="67">
        <v>-0.77514000000000005</v>
      </c>
      <c r="G31" s="67">
        <v>1.24089</v>
      </c>
      <c r="H31" s="67">
        <v>245</v>
      </c>
      <c r="I31" s="68" t="str">
        <f t="shared" si="0"/>
        <v>NIE</v>
      </c>
      <c r="J31" s="67">
        <v>-0.775084</v>
      </c>
      <c r="K31" s="67">
        <v>-0.77508299999999997</v>
      </c>
      <c r="L31" s="67">
        <v>1.24089</v>
      </c>
      <c r="M31" s="67">
        <v>209</v>
      </c>
      <c r="N31" s="6" t="str">
        <f t="shared" si="1"/>
        <v>NIE</v>
      </c>
    </row>
    <row r="32" spans="1:14">
      <c r="A32" s="41"/>
      <c r="B32" s="1">
        <v>30</v>
      </c>
      <c r="C32" s="66">
        <v>0.63</v>
      </c>
      <c r="D32" s="66">
        <v>0.37</v>
      </c>
      <c r="E32" s="66">
        <v>0.77514000000000005</v>
      </c>
      <c r="F32" s="70">
        <v>-1.7694200000000001E-16</v>
      </c>
      <c r="G32" s="66">
        <v>0.62044600000000005</v>
      </c>
      <c r="H32" s="66">
        <v>275</v>
      </c>
      <c r="I32" s="68" t="str">
        <f t="shared" si="0"/>
        <v>NIE</v>
      </c>
      <c r="J32" s="66">
        <v>0.77508299999999997</v>
      </c>
      <c r="K32" s="70">
        <v>-3.5827100000000002E-7</v>
      </c>
      <c r="L32" s="66">
        <v>0.62044600000000005</v>
      </c>
      <c r="M32" s="66">
        <v>207</v>
      </c>
      <c r="N32" s="6" t="str">
        <f t="shared" si="1"/>
        <v>NIE</v>
      </c>
    </row>
    <row r="33" spans="1:14">
      <c r="A33" s="41"/>
      <c r="B33" s="1">
        <v>31</v>
      </c>
      <c r="C33" s="67">
        <v>0.34</v>
      </c>
      <c r="D33" s="67">
        <v>0.61</v>
      </c>
      <c r="E33" s="69">
        <v>-2.1683999999999999E-16</v>
      </c>
      <c r="F33" s="67">
        <v>0.77514000000000005</v>
      </c>
      <c r="G33" s="67">
        <v>0.62044600000000005</v>
      </c>
      <c r="H33" s="67">
        <v>283</v>
      </c>
      <c r="I33" s="68" t="str">
        <f t="shared" si="0"/>
        <v>NIE</v>
      </c>
      <c r="J33" s="69">
        <v>-1.0060899999999999E-8</v>
      </c>
      <c r="K33" s="67">
        <v>0.77508299999999997</v>
      </c>
      <c r="L33" s="67">
        <v>0.62044600000000005</v>
      </c>
      <c r="M33" s="67">
        <v>245</v>
      </c>
      <c r="N33" s="6" t="str">
        <f t="shared" si="1"/>
        <v>NIE</v>
      </c>
    </row>
    <row r="34" spans="1:14">
      <c r="A34" s="41"/>
      <c r="B34" s="1">
        <v>32</v>
      </c>
      <c r="C34" s="66">
        <v>0.28000000000000003</v>
      </c>
      <c r="D34" s="66">
        <v>0.24</v>
      </c>
      <c r="E34" s="70">
        <v>-1.8561500000000001E-16</v>
      </c>
      <c r="F34" s="70">
        <v>-1.9082000000000001E-16</v>
      </c>
      <c r="G34" s="66">
        <v>0</v>
      </c>
      <c r="H34" s="66">
        <v>156</v>
      </c>
      <c r="I34" s="68" t="str">
        <f t="shared" si="0"/>
        <v>TAK</v>
      </c>
      <c r="J34" s="70">
        <v>-8.8694500000000001E-8</v>
      </c>
      <c r="K34" s="70">
        <v>-3.0270900000000001E-7</v>
      </c>
      <c r="L34" s="70">
        <v>3.1650200000000002E-12</v>
      </c>
      <c r="M34" s="66">
        <v>325</v>
      </c>
      <c r="N34" s="6" t="str">
        <f t="shared" si="1"/>
        <v>TAK</v>
      </c>
    </row>
    <row r="35" spans="1:14">
      <c r="A35" s="41"/>
      <c r="B35" s="1">
        <v>33</v>
      </c>
      <c r="C35" s="67">
        <v>0.16</v>
      </c>
      <c r="D35" s="67">
        <v>0.72</v>
      </c>
      <c r="E35" s="69">
        <v>-1.4918599999999999E-16</v>
      </c>
      <c r="F35" s="67">
        <v>0.77514000000000005</v>
      </c>
      <c r="G35" s="67">
        <v>0.62044600000000005</v>
      </c>
      <c r="H35" s="67">
        <v>252</v>
      </c>
      <c r="I35" s="68" t="str">
        <f t="shared" si="0"/>
        <v>NIE</v>
      </c>
      <c r="J35" s="69">
        <v>-2.89881E-8</v>
      </c>
      <c r="K35" s="67">
        <v>0.775084</v>
      </c>
      <c r="L35" s="67">
        <v>0.62044600000000005</v>
      </c>
      <c r="M35" s="67">
        <v>171</v>
      </c>
      <c r="N35" s="6" t="str">
        <f t="shared" si="1"/>
        <v>NIE</v>
      </c>
    </row>
    <row r="36" spans="1:14">
      <c r="A36" s="41"/>
      <c r="B36" s="1">
        <v>34</v>
      </c>
      <c r="C36" s="66">
        <v>-0.46</v>
      </c>
      <c r="D36" s="66">
        <v>0.72</v>
      </c>
      <c r="E36" s="66">
        <v>-0.77514000000000005</v>
      </c>
      <c r="F36" s="66">
        <v>0.77514000000000005</v>
      </c>
      <c r="G36" s="66">
        <v>1.24089</v>
      </c>
      <c r="H36" s="66">
        <v>254</v>
      </c>
      <c r="I36" s="68" t="str">
        <f t="shared" si="0"/>
        <v>NIE</v>
      </c>
      <c r="J36" s="66">
        <v>-0.77508299999999997</v>
      </c>
      <c r="K36" s="66">
        <v>0.77508299999999997</v>
      </c>
      <c r="L36" s="66">
        <v>1.24089</v>
      </c>
      <c r="M36" s="66">
        <v>223</v>
      </c>
      <c r="N36" s="6" t="str">
        <f t="shared" si="1"/>
        <v>NIE</v>
      </c>
    </row>
    <row r="37" spans="1:14">
      <c r="A37" s="41"/>
      <c r="B37" s="1">
        <v>35</v>
      </c>
      <c r="C37" s="67">
        <v>0.17</v>
      </c>
      <c r="D37" s="67">
        <v>0.97</v>
      </c>
      <c r="E37" s="69">
        <v>-1.3530799999999999E-16</v>
      </c>
      <c r="F37" s="67">
        <v>0.77514000000000005</v>
      </c>
      <c r="G37" s="67">
        <v>0.62044600000000005</v>
      </c>
      <c r="H37" s="67">
        <v>258</v>
      </c>
      <c r="I37" s="68" t="str">
        <f t="shared" si="0"/>
        <v>NIE</v>
      </c>
      <c r="J37" s="69">
        <v>-8.7112000000000006E-8</v>
      </c>
      <c r="K37" s="67">
        <v>0.77508299999999997</v>
      </c>
      <c r="L37" s="67">
        <v>0.62044600000000005</v>
      </c>
      <c r="M37" s="67">
        <v>201</v>
      </c>
      <c r="N37" s="6" t="str">
        <f t="shared" si="1"/>
        <v>NIE</v>
      </c>
    </row>
    <row r="38" spans="1:14">
      <c r="A38" s="41"/>
      <c r="B38" s="1">
        <v>36</v>
      </c>
      <c r="C38" s="66">
        <v>0.56000000000000005</v>
      </c>
      <c r="D38" s="66">
        <v>-0.23</v>
      </c>
      <c r="E38" s="66">
        <v>0.77514000000000005</v>
      </c>
      <c r="F38" s="70">
        <v>1.70003E-16</v>
      </c>
      <c r="G38" s="66">
        <v>0.62044600000000005</v>
      </c>
      <c r="H38" s="66">
        <v>249</v>
      </c>
      <c r="I38" s="68" t="str">
        <f t="shared" si="0"/>
        <v>NIE</v>
      </c>
      <c r="J38" s="66">
        <v>0.775084</v>
      </c>
      <c r="K38" s="70">
        <v>7.78067E-8</v>
      </c>
      <c r="L38" s="66">
        <v>0.62044600000000005</v>
      </c>
      <c r="M38" s="66">
        <v>159</v>
      </c>
      <c r="N38" s="6" t="str">
        <f t="shared" si="1"/>
        <v>NIE</v>
      </c>
    </row>
    <row r="39" spans="1:14">
      <c r="A39" s="41"/>
      <c r="B39" s="1">
        <v>37</v>
      </c>
      <c r="C39" s="67">
        <v>-0.99</v>
      </c>
      <c r="D39" s="67">
        <v>-0.78</v>
      </c>
      <c r="E39" s="67">
        <v>-0.77514000000000005</v>
      </c>
      <c r="F39" s="67">
        <v>-0.77514000000000005</v>
      </c>
      <c r="G39" s="67">
        <v>1.24089</v>
      </c>
      <c r="H39" s="67">
        <v>230</v>
      </c>
      <c r="I39" s="68" t="str">
        <f t="shared" si="0"/>
        <v>NIE</v>
      </c>
      <c r="J39" s="67">
        <v>-0.77508299999999997</v>
      </c>
      <c r="K39" s="67">
        <v>-0.77508299999999997</v>
      </c>
      <c r="L39" s="67">
        <v>1.24089</v>
      </c>
      <c r="M39" s="67">
        <v>145</v>
      </c>
      <c r="N39" s="6" t="str">
        <f t="shared" si="1"/>
        <v>NIE</v>
      </c>
    </row>
    <row r="40" spans="1:14">
      <c r="A40" s="41"/>
      <c r="B40" s="1">
        <v>38</v>
      </c>
      <c r="C40" s="66">
        <v>0.09</v>
      </c>
      <c r="D40" s="66">
        <v>0.69</v>
      </c>
      <c r="E40" s="70">
        <v>9.0205599999999994E-17</v>
      </c>
      <c r="F40" s="66">
        <v>0.77514000000000005</v>
      </c>
      <c r="G40" s="66">
        <v>0.62044600000000005</v>
      </c>
      <c r="H40" s="66">
        <v>234</v>
      </c>
      <c r="I40" s="68" t="str">
        <f t="shared" si="0"/>
        <v>NIE</v>
      </c>
      <c r="J40" s="70">
        <v>1.16445E-8</v>
      </c>
      <c r="K40" s="66">
        <v>0.77508299999999997</v>
      </c>
      <c r="L40" s="66">
        <v>0.62044600000000005</v>
      </c>
      <c r="M40" s="66">
        <v>219</v>
      </c>
      <c r="N40" s="6" t="str">
        <f t="shared" si="1"/>
        <v>NIE</v>
      </c>
    </row>
    <row r="41" spans="1:14">
      <c r="A41" s="41"/>
      <c r="B41" s="1">
        <v>39</v>
      </c>
      <c r="C41" s="67">
        <v>0.77</v>
      </c>
      <c r="D41" s="67">
        <v>0.8</v>
      </c>
      <c r="E41" s="67">
        <v>0.77514000000000005</v>
      </c>
      <c r="F41" s="67">
        <v>0.77514000000000005</v>
      </c>
      <c r="G41" s="67">
        <v>1.24089</v>
      </c>
      <c r="H41" s="67">
        <v>214</v>
      </c>
      <c r="I41" s="68" t="str">
        <f t="shared" si="0"/>
        <v>NIE</v>
      </c>
      <c r="J41" s="67">
        <v>0.77508100000000002</v>
      </c>
      <c r="K41" s="67">
        <v>0.77508100000000002</v>
      </c>
      <c r="L41" s="67">
        <v>1.24089</v>
      </c>
      <c r="M41" s="67">
        <v>99</v>
      </c>
      <c r="N41" s="6" t="str">
        <f t="shared" si="1"/>
        <v>NIE</v>
      </c>
    </row>
    <row r="42" spans="1:14">
      <c r="A42" s="41"/>
      <c r="B42" s="1">
        <v>40</v>
      </c>
      <c r="C42" s="66">
        <v>-0.13</v>
      </c>
      <c r="D42" s="66">
        <v>0.01</v>
      </c>
      <c r="E42" s="70">
        <v>-6.0715299999999999E-17</v>
      </c>
      <c r="F42" s="70">
        <v>8.6736199999999993E-18</v>
      </c>
      <c r="G42" s="66">
        <v>0</v>
      </c>
      <c r="H42" s="66">
        <v>130</v>
      </c>
      <c r="I42" s="68" t="str">
        <f t="shared" si="0"/>
        <v>TAK</v>
      </c>
      <c r="J42" s="70">
        <v>7.0776699999999996E-8</v>
      </c>
      <c r="K42" s="70">
        <v>-7.8495500000000003E-8</v>
      </c>
      <c r="L42" s="70">
        <v>3.5527099999999998E-13</v>
      </c>
      <c r="M42" s="66">
        <v>179</v>
      </c>
      <c r="N42" s="6" t="str">
        <f t="shared" si="1"/>
        <v>TAK</v>
      </c>
    </row>
    <row r="43" spans="1:14">
      <c r="A43" s="41"/>
      <c r="B43" s="1">
        <v>41</v>
      </c>
      <c r="C43" s="67">
        <v>-0.56999999999999995</v>
      </c>
      <c r="D43" s="67">
        <v>-0.54</v>
      </c>
      <c r="E43" s="67">
        <v>-0.77514000000000005</v>
      </c>
      <c r="F43" s="67">
        <v>-0.77514000000000005</v>
      </c>
      <c r="G43" s="67">
        <v>1.24089</v>
      </c>
      <c r="H43" s="67">
        <v>248</v>
      </c>
      <c r="I43" s="68" t="str">
        <f t="shared" si="0"/>
        <v>NIE</v>
      </c>
      <c r="J43" s="67">
        <v>-0.77508299999999997</v>
      </c>
      <c r="K43" s="67">
        <v>-0.775084</v>
      </c>
      <c r="L43" s="67">
        <v>1.24089</v>
      </c>
      <c r="M43" s="67">
        <v>213</v>
      </c>
      <c r="N43" s="6" t="str">
        <f t="shared" si="1"/>
        <v>NIE</v>
      </c>
    </row>
    <row r="44" spans="1:14">
      <c r="A44" s="41"/>
      <c r="B44" s="1">
        <v>42</v>
      </c>
      <c r="C44" s="66">
        <v>0.14000000000000001</v>
      </c>
      <c r="D44" s="66">
        <v>-0.71</v>
      </c>
      <c r="E44" s="70">
        <v>-1.11022E-16</v>
      </c>
      <c r="F44" s="66">
        <v>-0.77514000000000005</v>
      </c>
      <c r="G44" s="66">
        <v>0.62044600000000005</v>
      </c>
      <c r="H44" s="66">
        <v>253</v>
      </c>
      <c r="I44" s="68" t="str">
        <f t="shared" si="0"/>
        <v>NIE</v>
      </c>
      <c r="J44" s="70">
        <v>-1.91978E-7</v>
      </c>
      <c r="K44" s="66">
        <v>-0.77508299999999997</v>
      </c>
      <c r="L44" s="66">
        <v>0.62044600000000005</v>
      </c>
      <c r="M44" s="66">
        <v>203</v>
      </c>
      <c r="N44" s="6" t="str">
        <f t="shared" si="1"/>
        <v>NIE</v>
      </c>
    </row>
    <row r="45" spans="1:14">
      <c r="A45" s="41"/>
      <c r="B45" s="1">
        <v>43</v>
      </c>
      <c r="C45" s="67">
        <v>-0.77</v>
      </c>
      <c r="D45" s="67">
        <v>-0.71</v>
      </c>
      <c r="E45" s="67">
        <v>-0.77514000000000005</v>
      </c>
      <c r="F45" s="67">
        <v>-0.77514000000000005</v>
      </c>
      <c r="G45" s="67">
        <v>1.24089</v>
      </c>
      <c r="H45" s="67">
        <v>228</v>
      </c>
      <c r="I45" s="68" t="str">
        <f t="shared" si="0"/>
        <v>NIE</v>
      </c>
      <c r="J45" s="67">
        <v>-0.775084</v>
      </c>
      <c r="K45" s="67">
        <v>-0.775084</v>
      </c>
      <c r="L45" s="67">
        <v>1.24089</v>
      </c>
      <c r="M45" s="67">
        <v>177</v>
      </c>
      <c r="N45" s="6" t="str">
        <f t="shared" si="1"/>
        <v>NIE</v>
      </c>
    </row>
    <row r="46" spans="1:14">
      <c r="A46" s="41"/>
      <c r="B46" s="1">
        <v>44</v>
      </c>
      <c r="C46" s="66">
        <v>0.88</v>
      </c>
      <c r="D46" s="66">
        <v>-0.36</v>
      </c>
      <c r="E46" s="66">
        <v>0.77514000000000005</v>
      </c>
      <c r="F46" s="70">
        <v>2.9663799999999999E-16</v>
      </c>
      <c r="G46" s="66">
        <v>0.62044600000000005</v>
      </c>
      <c r="H46" s="66">
        <v>262</v>
      </c>
      <c r="I46" s="68" t="str">
        <f t="shared" si="0"/>
        <v>NIE</v>
      </c>
      <c r="J46" s="66">
        <v>0.77508299999999997</v>
      </c>
      <c r="K46" s="70">
        <v>3.5279999999999998E-9</v>
      </c>
      <c r="L46" s="66">
        <v>0.62044600000000005</v>
      </c>
      <c r="M46" s="66">
        <v>225</v>
      </c>
      <c r="N46" s="6" t="str">
        <f t="shared" si="1"/>
        <v>NIE</v>
      </c>
    </row>
    <row r="47" spans="1:14">
      <c r="A47" s="41"/>
      <c r="B47" s="1">
        <v>45</v>
      </c>
      <c r="C47" s="67">
        <v>-0.84</v>
      </c>
      <c r="D47" s="67">
        <v>0.51</v>
      </c>
      <c r="E47" s="67">
        <v>-0.77514000000000005</v>
      </c>
      <c r="F47" s="67">
        <v>0.77514000000000005</v>
      </c>
      <c r="G47" s="67">
        <v>1.24089</v>
      </c>
      <c r="H47" s="67">
        <v>246</v>
      </c>
      <c r="I47" s="68" t="str">
        <f t="shared" si="0"/>
        <v>NIE</v>
      </c>
      <c r="J47" s="67">
        <v>-0.775084</v>
      </c>
      <c r="K47" s="67">
        <v>0.77508299999999997</v>
      </c>
      <c r="L47" s="67">
        <v>1.24089</v>
      </c>
      <c r="M47" s="67">
        <v>207</v>
      </c>
      <c r="N47" s="6" t="str">
        <f t="shared" si="1"/>
        <v>NIE</v>
      </c>
    </row>
    <row r="48" spans="1:14">
      <c r="A48" s="41"/>
      <c r="B48" s="1">
        <v>46</v>
      </c>
      <c r="C48" s="66">
        <v>0.53</v>
      </c>
      <c r="D48" s="66">
        <v>0.51</v>
      </c>
      <c r="E48" s="66">
        <v>0.77514000000000005</v>
      </c>
      <c r="F48" s="66">
        <v>0.77514000000000005</v>
      </c>
      <c r="G48" s="66">
        <v>1.24089</v>
      </c>
      <c r="H48" s="66">
        <v>238</v>
      </c>
      <c r="I48" s="68" t="str">
        <f t="shared" si="0"/>
        <v>NIE</v>
      </c>
      <c r="J48" s="66">
        <v>0.77510100000000004</v>
      </c>
      <c r="K48" s="66">
        <v>0.77507400000000004</v>
      </c>
      <c r="L48" s="66">
        <v>1.24089</v>
      </c>
      <c r="M48" s="66">
        <v>103</v>
      </c>
      <c r="N48" s="6" t="str">
        <f t="shared" si="1"/>
        <v>NIE</v>
      </c>
    </row>
    <row r="49" spans="1:14">
      <c r="A49" s="41"/>
      <c r="B49" s="1">
        <v>47</v>
      </c>
      <c r="C49" s="67">
        <v>-0.36</v>
      </c>
      <c r="D49" s="67">
        <v>-0.66</v>
      </c>
      <c r="E49" s="69">
        <v>2.9663799999999999E-16</v>
      </c>
      <c r="F49" s="67">
        <v>-0.77514000000000005</v>
      </c>
      <c r="G49" s="67">
        <v>0.62044600000000005</v>
      </c>
      <c r="H49" s="67">
        <v>263</v>
      </c>
      <c r="I49" s="68" t="str">
        <f t="shared" si="0"/>
        <v>NIE</v>
      </c>
      <c r="J49" s="69">
        <v>1.7067600000000001E-7</v>
      </c>
      <c r="K49" s="67">
        <v>-0.77508299999999997</v>
      </c>
      <c r="L49" s="67">
        <v>0.62044600000000005</v>
      </c>
      <c r="M49" s="67">
        <v>215</v>
      </c>
      <c r="N49" s="6" t="str">
        <f t="shared" si="1"/>
        <v>NIE</v>
      </c>
    </row>
    <row r="50" spans="1:14">
      <c r="A50" s="41"/>
      <c r="B50" s="1">
        <v>48</v>
      </c>
      <c r="C50" s="66">
        <v>-0.73</v>
      </c>
      <c r="D50" s="66">
        <v>0.8</v>
      </c>
      <c r="E50" s="66">
        <v>-0.77514000000000005</v>
      </c>
      <c r="F50" s="66">
        <v>0.77514000000000005</v>
      </c>
      <c r="G50" s="66">
        <v>1.24089</v>
      </c>
      <c r="H50" s="66">
        <v>219</v>
      </c>
      <c r="I50" s="68" t="str">
        <f t="shared" si="0"/>
        <v>NIE</v>
      </c>
      <c r="J50" s="66">
        <v>-0.775084</v>
      </c>
      <c r="K50" s="66">
        <v>0.77508299999999997</v>
      </c>
      <c r="L50" s="66">
        <v>1.24089</v>
      </c>
      <c r="M50" s="66">
        <v>211</v>
      </c>
      <c r="N50" s="6" t="str">
        <f t="shared" si="1"/>
        <v>NIE</v>
      </c>
    </row>
    <row r="51" spans="1:14">
      <c r="A51" s="41"/>
      <c r="B51" s="1">
        <v>49</v>
      </c>
      <c r="C51" s="67">
        <v>-0.94</v>
      </c>
      <c r="D51" s="67">
        <v>-0.19</v>
      </c>
      <c r="E51" s="67">
        <v>-0.77514000000000005</v>
      </c>
      <c r="F51" s="69">
        <v>1.7520699999999999E-16</v>
      </c>
      <c r="G51" s="67">
        <v>0.62044600000000005</v>
      </c>
      <c r="H51" s="67">
        <v>252</v>
      </c>
      <c r="I51" s="68" t="str">
        <f t="shared" si="0"/>
        <v>NIE</v>
      </c>
      <c r="J51" s="67">
        <v>-0.77508299999999997</v>
      </c>
      <c r="K51" s="69">
        <v>8.0415800000000003E-9</v>
      </c>
      <c r="L51" s="67">
        <v>0.62044600000000005</v>
      </c>
      <c r="M51" s="67">
        <v>225</v>
      </c>
      <c r="N51" s="6" t="str">
        <f t="shared" si="1"/>
        <v>NIE</v>
      </c>
    </row>
    <row r="52" spans="1:14">
      <c r="A52" s="41"/>
      <c r="B52" s="1">
        <v>50</v>
      </c>
      <c r="C52" s="66">
        <v>0.04</v>
      </c>
      <c r="D52" s="66">
        <v>0.23</v>
      </c>
      <c r="E52" s="70">
        <v>2.4286099999999999E-17</v>
      </c>
      <c r="F52" s="70">
        <v>-1.70003E-16</v>
      </c>
      <c r="G52" s="66">
        <v>0</v>
      </c>
      <c r="H52" s="66">
        <v>151</v>
      </c>
      <c r="I52" s="68" t="str">
        <f t="shared" si="0"/>
        <v>TAK</v>
      </c>
      <c r="J52" s="70">
        <v>-1.95787E-7</v>
      </c>
      <c r="K52" s="70">
        <v>-2.8431700000000002E-7</v>
      </c>
      <c r="L52" s="70">
        <v>3.7907499999999998E-12</v>
      </c>
      <c r="M52" s="66">
        <v>187</v>
      </c>
      <c r="N52" s="6" t="str">
        <f t="shared" si="1"/>
        <v>TAK</v>
      </c>
    </row>
    <row r="53" spans="1:14">
      <c r="A53" s="41"/>
      <c r="B53" s="1">
        <v>51</v>
      </c>
      <c r="C53" s="67">
        <v>-0.7</v>
      </c>
      <c r="D53" s="67">
        <v>-0.4</v>
      </c>
      <c r="E53" s="67">
        <v>-0.77514000000000005</v>
      </c>
      <c r="F53" s="69">
        <v>3.0704600000000001E-16</v>
      </c>
      <c r="G53" s="67">
        <v>0.62044600000000005</v>
      </c>
      <c r="H53" s="67">
        <v>265</v>
      </c>
      <c r="I53" s="68" t="str">
        <f t="shared" si="0"/>
        <v>NIE</v>
      </c>
      <c r="J53" s="67">
        <v>-0.77508299999999997</v>
      </c>
      <c r="K53" s="69">
        <v>-2.3038700000000001E-7</v>
      </c>
      <c r="L53" s="67">
        <v>0.62044600000000005</v>
      </c>
      <c r="M53" s="67">
        <v>149</v>
      </c>
      <c r="N53" s="6" t="str">
        <f t="shared" si="1"/>
        <v>NIE</v>
      </c>
    </row>
    <row r="54" spans="1:14">
      <c r="A54" s="41"/>
      <c r="B54" s="1">
        <v>52</v>
      </c>
      <c r="C54" s="66">
        <v>0.52</v>
      </c>
      <c r="D54" s="66">
        <v>0.83</v>
      </c>
      <c r="E54" s="66">
        <v>0.77514000000000005</v>
      </c>
      <c r="F54" s="66">
        <v>0.77514000000000005</v>
      </c>
      <c r="G54" s="66">
        <v>1.24089</v>
      </c>
      <c r="H54" s="66">
        <v>232</v>
      </c>
      <c r="I54" s="68" t="str">
        <f t="shared" si="0"/>
        <v>NIE</v>
      </c>
      <c r="J54" s="66">
        <v>0.775084</v>
      </c>
      <c r="K54" s="66">
        <v>0.77508299999999997</v>
      </c>
      <c r="L54" s="66">
        <v>1.24089</v>
      </c>
      <c r="M54" s="66">
        <v>115</v>
      </c>
      <c r="N54" s="6" t="str">
        <f t="shared" si="1"/>
        <v>NIE</v>
      </c>
    </row>
    <row r="55" spans="1:14">
      <c r="A55" s="41"/>
      <c r="B55" s="1">
        <v>53</v>
      </c>
      <c r="C55" s="67">
        <v>-0.65</v>
      </c>
      <c r="D55" s="67">
        <v>-0.39</v>
      </c>
      <c r="E55" s="67">
        <v>-0.77514000000000005</v>
      </c>
      <c r="F55" s="69">
        <v>2.7582099999999998E-16</v>
      </c>
      <c r="G55" s="67">
        <v>0.62044600000000005</v>
      </c>
      <c r="H55" s="67">
        <v>256</v>
      </c>
      <c r="I55" s="68" t="str">
        <f t="shared" si="0"/>
        <v>NIE</v>
      </c>
      <c r="J55" s="67">
        <v>-0.775084</v>
      </c>
      <c r="K55" s="69">
        <v>-5.4857900000000002E-8</v>
      </c>
      <c r="L55" s="67">
        <v>0.62044600000000005</v>
      </c>
      <c r="M55" s="67">
        <v>261</v>
      </c>
      <c r="N55" s="6" t="str">
        <f t="shared" si="1"/>
        <v>NIE</v>
      </c>
    </row>
    <row r="56" spans="1:14">
      <c r="A56" s="41"/>
      <c r="B56" s="1">
        <v>54</v>
      </c>
      <c r="C56" s="66">
        <v>0.04</v>
      </c>
      <c r="D56" s="66">
        <v>0.64</v>
      </c>
      <c r="E56" s="70">
        <v>2.60209E-17</v>
      </c>
      <c r="F56" s="66">
        <v>0.77514000000000005</v>
      </c>
      <c r="G56" s="66">
        <v>0.62044600000000005</v>
      </c>
      <c r="H56" s="66">
        <v>237</v>
      </c>
      <c r="I56" s="68" t="str">
        <f t="shared" si="0"/>
        <v>NIE</v>
      </c>
      <c r="J56" s="70">
        <v>-6.0937699999999996E-8</v>
      </c>
      <c r="K56" s="66">
        <v>0.775084</v>
      </c>
      <c r="L56" s="66">
        <v>0.62044600000000005</v>
      </c>
      <c r="M56" s="66">
        <v>231</v>
      </c>
      <c r="N56" s="6" t="str">
        <f t="shared" si="1"/>
        <v>NIE</v>
      </c>
    </row>
    <row r="57" spans="1:14">
      <c r="A57" s="41"/>
      <c r="B57" s="1">
        <v>55</v>
      </c>
      <c r="C57" s="67">
        <v>0.93</v>
      </c>
      <c r="D57" s="67">
        <v>0.44</v>
      </c>
      <c r="E57" s="67">
        <v>0.77514000000000005</v>
      </c>
      <c r="F57" s="67">
        <v>0.77514000000000005</v>
      </c>
      <c r="G57" s="67">
        <v>1.24089</v>
      </c>
      <c r="H57" s="67">
        <v>257</v>
      </c>
      <c r="I57" s="68" t="str">
        <f t="shared" si="0"/>
        <v>NIE</v>
      </c>
      <c r="J57" s="67">
        <v>0.77508299999999997</v>
      </c>
      <c r="K57" s="67">
        <v>0.77508299999999997</v>
      </c>
      <c r="L57" s="67">
        <v>1.24089</v>
      </c>
      <c r="M57" s="67">
        <v>239</v>
      </c>
      <c r="N57" s="6" t="str">
        <f t="shared" si="1"/>
        <v>NIE</v>
      </c>
    </row>
    <row r="58" spans="1:14">
      <c r="A58" s="41"/>
      <c r="B58" s="1">
        <v>56</v>
      </c>
      <c r="C58" s="66">
        <v>-0.83</v>
      </c>
      <c r="D58" s="66">
        <v>-0.63</v>
      </c>
      <c r="E58" s="66">
        <v>-0.77514000000000005</v>
      </c>
      <c r="F58" s="66">
        <v>-0.77514000000000005</v>
      </c>
      <c r="G58" s="66">
        <v>1.24089</v>
      </c>
      <c r="H58" s="66">
        <v>237</v>
      </c>
      <c r="I58" s="68" t="str">
        <f t="shared" si="0"/>
        <v>NIE</v>
      </c>
      <c r="J58" s="66">
        <v>-0.77508299999999997</v>
      </c>
      <c r="K58" s="66">
        <v>-0.775084</v>
      </c>
      <c r="L58" s="66">
        <v>1.24089</v>
      </c>
      <c r="M58" s="66">
        <v>217</v>
      </c>
      <c r="N58" s="6" t="str">
        <f t="shared" si="1"/>
        <v>NIE</v>
      </c>
    </row>
    <row r="59" spans="1:14">
      <c r="A59" s="41"/>
      <c r="B59" s="1">
        <v>57</v>
      </c>
      <c r="C59" s="67">
        <v>0.9</v>
      </c>
      <c r="D59" s="67">
        <v>-0.17</v>
      </c>
      <c r="E59" s="67">
        <v>0.77514000000000005</v>
      </c>
      <c r="F59" s="69">
        <v>1.73472E-17</v>
      </c>
      <c r="G59" s="67">
        <v>0.62044600000000005</v>
      </c>
      <c r="H59" s="67">
        <v>249</v>
      </c>
      <c r="I59" s="68" t="str">
        <f t="shared" si="0"/>
        <v>NIE</v>
      </c>
      <c r="J59" s="67">
        <v>0.77508299999999997</v>
      </c>
      <c r="K59" s="69">
        <v>-2.09318E-7</v>
      </c>
      <c r="L59" s="67">
        <v>0.62044600000000005</v>
      </c>
      <c r="M59" s="67">
        <v>137</v>
      </c>
      <c r="N59" s="6" t="str">
        <f t="shared" si="1"/>
        <v>NIE</v>
      </c>
    </row>
    <row r="60" spans="1:14">
      <c r="A60" s="41"/>
      <c r="B60" s="1">
        <v>58</v>
      </c>
      <c r="C60" s="66">
        <v>-0.82</v>
      </c>
      <c r="D60" s="66">
        <v>0.65</v>
      </c>
      <c r="E60" s="66">
        <v>-0.77514000000000005</v>
      </c>
      <c r="F60" s="66">
        <v>0.77514000000000005</v>
      </c>
      <c r="G60" s="66">
        <v>1.24089</v>
      </c>
      <c r="H60" s="66">
        <v>225</v>
      </c>
      <c r="I60" s="68" t="str">
        <f t="shared" si="0"/>
        <v>NIE</v>
      </c>
      <c r="J60" s="66">
        <v>-0.77508299999999997</v>
      </c>
      <c r="K60" s="66">
        <v>0.77508299999999997</v>
      </c>
      <c r="L60" s="66">
        <v>1.24089</v>
      </c>
      <c r="M60" s="66">
        <v>141</v>
      </c>
      <c r="N60" s="6" t="str">
        <f t="shared" si="1"/>
        <v>NIE</v>
      </c>
    </row>
    <row r="61" spans="1:14">
      <c r="A61" s="41"/>
      <c r="B61" s="1">
        <v>59</v>
      </c>
      <c r="C61" s="67">
        <v>0.12</v>
      </c>
      <c r="D61" s="67">
        <v>-0.94</v>
      </c>
      <c r="E61" s="69">
        <v>1.4224699999999999E-16</v>
      </c>
      <c r="F61" s="67">
        <v>-0.77514000000000005</v>
      </c>
      <c r="G61" s="67">
        <v>0.62044600000000005</v>
      </c>
      <c r="H61" s="67">
        <v>244</v>
      </c>
      <c r="I61" s="68" t="str">
        <f t="shared" si="0"/>
        <v>NIE</v>
      </c>
      <c r="J61" s="69">
        <v>5.0376199999999998E-9</v>
      </c>
      <c r="K61" s="67">
        <v>-0.77508299999999997</v>
      </c>
      <c r="L61" s="67">
        <v>0.62044600000000005</v>
      </c>
      <c r="M61" s="67">
        <v>233</v>
      </c>
      <c r="N61" s="6" t="str">
        <f t="shared" si="1"/>
        <v>NIE</v>
      </c>
    </row>
    <row r="62" spans="1:14">
      <c r="A62" s="41"/>
      <c r="B62" s="1">
        <v>60</v>
      </c>
      <c r="C62" s="66">
        <v>0.82</v>
      </c>
      <c r="D62" s="66">
        <v>0.28999999999999998</v>
      </c>
      <c r="E62" s="66">
        <v>0.77514000000000005</v>
      </c>
      <c r="F62" s="70">
        <v>-1.7694200000000001E-16</v>
      </c>
      <c r="G62" s="66">
        <v>0.62044600000000005</v>
      </c>
      <c r="H62" s="66">
        <v>259</v>
      </c>
      <c r="I62" s="68" t="str">
        <f t="shared" si="0"/>
        <v>NIE</v>
      </c>
      <c r="J62" s="66">
        <v>0.77508299999999997</v>
      </c>
      <c r="K62" s="70">
        <v>-1.4957299999999999E-8</v>
      </c>
      <c r="L62" s="66">
        <v>0.62044600000000005</v>
      </c>
      <c r="M62" s="66">
        <v>211</v>
      </c>
      <c r="N62" s="6" t="str">
        <f t="shared" si="1"/>
        <v>NIE</v>
      </c>
    </row>
    <row r="63" spans="1:14">
      <c r="A63" s="41"/>
      <c r="B63" s="1">
        <v>61</v>
      </c>
      <c r="C63" s="67">
        <v>0.09</v>
      </c>
      <c r="D63" s="67">
        <v>0.35</v>
      </c>
      <c r="E63" s="69">
        <v>1.14492E-16</v>
      </c>
      <c r="F63" s="69">
        <v>-1.9428900000000001E-16</v>
      </c>
      <c r="G63" s="67">
        <v>0</v>
      </c>
      <c r="H63" s="67">
        <v>158</v>
      </c>
      <c r="I63" s="68" t="str">
        <f t="shared" si="0"/>
        <v>TAK</v>
      </c>
      <c r="J63" s="69">
        <v>-9.1966500000000005E-9</v>
      </c>
      <c r="K63" s="69">
        <v>8.8230500000000004E-8</v>
      </c>
      <c r="L63" s="69">
        <v>2.5024399999999999E-13</v>
      </c>
      <c r="M63" s="67">
        <v>231</v>
      </c>
      <c r="N63" s="6" t="str">
        <f t="shared" si="1"/>
        <v>TAK</v>
      </c>
    </row>
    <row r="64" spans="1:14">
      <c r="A64" s="41"/>
      <c r="B64" s="1">
        <v>62</v>
      </c>
      <c r="C64" s="66">
        <v>-0.68</v>
      </c>
      <c r="D64" s="66">
        <v>0.74</v>
      </c>
      <c r="E64" s="66">
        <v>-0.77514000000000005</v>
      </c>
      <c r="F64" s="66">
        <v>0.77514000000000005</v>
      </c>
      <c r="G64" s="66">
        <v>1.24089</v>
      </c>
      <c r="H64" s="66">
        <v>223</v>
      </c>
      <c r="I64" s="68" t="str">
        <f t="shared" si="0"/>
        <v>NIE</v>
      </c>
      <c r="J64" s="66">
        <v>-0.77508200000000005</v>
      </c>
      <c r="K64" s="66">
        <v>0.775084</v>
      </c>
      <c r="L64" s="66">
        <v>1.24089</v>
      </c>
      <c r="M64" s="66">
        <v>171</v>
      </c>
      <c r="N64" s="6" t="str">
        <f t="shared" si="1"/>
        <v>NIE</v>
      </c>
    </row>
    <row r="65" spans="1:14">
      <c r="A65" s="41"/>
      <c r="B65" s="1">
        <v>63</v>
      </c>
      <c r="C65" s="67">
        <v>0.69</v>
      </c>
      <c r="D65" s="67">
        <v>-0.41</v>
      </c>
      <c r="E65" s="67">
        <v>0.77514000000000005</v>
      </c>
      <c r="F65" s="69">
        <v>3.4347499999999998E-16</v>
      </c>
      <c r="G65" s="67">
        <v>0.62044600000000005</v>
      </c>
      <c r="H65" s="67">
        <v>265</v>
      </c>
      <c r="I65" s="68" t="str">
        <f t="shared" si="0"/>
        <v>NIE</v>
      </c>
      <c r="J65" s="67">
        <v>0.77508299999999997</v>
      </c>
      <c r="K65" s="69">
        <v>-1.8382400000000001E-8</v>
      </c>
      <c r="L65" s="67">
        <v>0.62044600000000005</v>
      </c>
      <c r="M65" s="67">
        <v>243</v>
      </c>
      <c r="N65" s="6" t="str">
        <f t="shared" si="1"/>
        <v>NIE</v>
      </c>
    </row>
    <row r="66" spans="1:14">
      <c r="A66" s="41"/>
      <c r="B66" s="1">
        <v>64</v>
      </c>
      <c r="C66" s="66">
        <v>0.06</v>
      </c>
      <c r="D66" s="66">
        <v>0.75</v>
      </c>
      <c r="E66" s="70">
        <v>4.33681E-17</v>
      </c>
      <c r="F66" s="66">
        <v>0.77514000000000005</v>
      </c>
      <c r="G66" s="66">
        <v>0.62044600000000005</v>
      </c>
      <c r="H66" s="66">
        <v>239</v>
      </c>
      <c r="I66" s="68" t="str">
        <f t="shared" si="0"/>
        <v>NIE</v>
      </c>
      <c r="J66" s="70">
        <v>3.12664E-7</v>
      </c>
      <c r="K66" s="66">
        <v>0.775084</v>
      </c>
      <c r="L66" s="66">
        <v>0.62044600000000005</v>
      </c>
      <c r="M66" s="66">
        <v>259</v>
      </c>
      <c r="N66" s="6" t="str">
        <f t="shared" si="1"/>
        <v>NIE</v>
      </c>
    </row>
    <row r="67" spans="1:14">
      <c r="A67" s="41"/>
      <c r="B67" s="1">
        <v>65</v>
      </c>
      <c r="C67" s="67">
        <v>-7.0000000000000007E-2</v>
      </c>
      <c r="D67" s="67">
        <v>-0.89</v>
      </c>
      <c r="E67" s="69">
        <v>6.2449999999999997E-17</v>
      </c>
      <c r="F67" s="67">
        <v>-0.77514000000000005</v>
      </c>
      <c r="G67" s="67">
        <v>0.62044600000000005</v>
      </c>
      <c r="H67" s="67">
        <v>239</v>
      </c>
      <c r="I67" s="68" t="str">
        <f t="shared" si="0"/>
        <v>NIE</v>
      </c>
      <c r="J67" s="69">
        <v>3.0691099999999998E-6</v>
      </c>
      <c r="K67" s="67">
        <v>-0.77507899999999996</v>
      </c>
      <c r="L67" s="67">
        <v>0.62044600000000005</v>
      </c>
      <c r="M67" s="67">
        <v>117</v>
      </c>
      <c r="N67" s="6" t="str">
        <f t="shared" si="1"/>
        <v>NIE</v>
      </c>
    </row>
    <row r="68" spans="1:14">
      <c r="A68" s="41"/>
      <c r="B68" s="1">
        <v>66</v>
      </c>
      <c r="C68" s="66">
        <v>-0.49</v>
      </c>
      <c r="D68" s="66">
        <v>-0.25</v>
      </c>
      <c r="E68" s="66">
        <v>-0.77514000000000005</v>
      </c>
      <c r="F68" s="70">
        <v>1.8388100000000001E-16</v>
      </c>
      <c r="G68" s="66">
        <v>0.62044600000000005</v>
      </c>
      <c r="H68" s="66">
        <v>254</v>
      </c>
      <c r="I68" s="68" t="str">
        <f t="shared" ref="I68:I131" si="2">IF(AND(E68&gt;-0.1,E68&lt;0.1,F68&gt;-0.1,F68&lt;0.1),"TAK","NIE")</f>
        <v>NIE</v>
      </c>
      <c r="J68" s="66">
        <v>-0.77508299999999997</v>
      </c>
      <c r="K68" s="70">
        <v>-1.0854299999999999E-7</v>
      </c>
      <c r="L68" s="66">
        <v>0.62044600000000005</v>
      </c>
      <c r="M68" s="66">
        <v>273</v>
      </c>
      <c r="N68" s="6" t="str">
        <f t="shared" ref="N68:N131" si="3">IF(AND(J68&gt;-0.1,J68&lt;0.1,K68&gt;-0.1,K68&lt;0.1),"TAK","NIE")</f>
        <v>NIE</v>
      </c>
    </row>
    <row r="69" spans="1:14">
      <c r="A69" s="41"/>
      <c r="B69" s="1">
        <v>67</v>
      </c>
      <c r="C69" s="67">
        <v>-0.77</v>
      </c>
      <c r="D69" s="67">
        <v>-0.97</v>
      </c>
      <c r="E69" s="67">
        <v>-0.77514000000000005</v>
      </c>
      <c r="F69" s="67">
        <v>-0.77514000000000005</v>
      </c>
      <c r="G69" s="67">
        <v>1.24089</v>
      </c>
      <c r="H69" s="67">
        <v>230</v>
      </c>
      <c r="I69" s="68" t="str">
        <f t="shared" si="2"/>
        <v>NIE</v>
      </c>
      <c r="J69" s="67">
        <v>-0.77508299999999997</v>
      </c>
      <c r="K69" s="67">
        <v>-0.77508299999999997</v>
      </c>
      <c r="L69" s="67">
        <v>1.24089</v>
      </c>
      <c r="M69" s="67">
        <v>125</v>
      </c>
      <c r="N69" s="6" t="str">
        <f t="shared" si="3"/>
        <v>NIE</v>
      </c>
    </row>
    <row r="70" spans="1:14">
      <c r="A70" s="41"/>
      <c r="B70" s="1">
        <v>68</v>
      </c>
      <c r="C70" s="66">
        <v>-0.41</v>
      </c>
      <c r="D70" s="66">
        <v>-0.42</v>
      </c>
      <c r="E70" s="70">
        <v>2.91434E-16</v>
      </c>
      <c r="F70" s="66">
        <v>-0.77514000000000005</v>
      </c>
      <c r="G70" s="66">
        <v>0.62044600000000005</v>
      </c>
      <c r="H70" s="66">
        <v>267</v>
      </c>
      <c r="I70" s="68" t="str">
        <f t="shared" si="2"/>
        <v>NIE</v>
      </c>
      <c r="J70" s="70">
        <v>1.4095900000000001E-8</v>
      </c>
      <c r="K70" s="66">
        <v>-0.77508299999999997</v>
      </c>
      <c r="L70" s="66">
        <v>0.62044600000000005</v>
      </c>
      <c r="M70" s="66">
        <v>213</v>
      </c>
      <c r="N70" s="6" t="str">
        <f t="shared" si="3"/>
        <v>NIE</v>
      </c>
    </row>
    <row r="71" spans="1:14">
      <c r="A71" s="41"/>
      <c r="B71" s="1">
        <v>69</v>
      </c>
      <c r="C71" s="67">
        <v>-0.83</v>
      </c>
      <c r="D71" s="67">
        <v>0.15</v>
      </c>
      <c r="E71" s="67">
        <v>-0.77514000000000005</v>
      </c>
      <c r="F71" s="69">
        <v>-1.02349E-16</v>
      </c>
      <c r="G71" s="67">
        <v>0.62044600000000005</v>
      </c>
      <c r="H71" s="67">
        <v>249</v>
      </c>
      <c r="I71" s="68" t="str">
        <f t="shared" si="2"/>
        <v>NIE</v>
      </c>
      <c r="J71" s="67">
        <v>-0.77508299999999997</v>
      </c>
      <c r="K71" s="69">
        <v>-9.2051399999999999E-10</v>
      </c>
      <c r="L71" s="67">
        <v>0.62044600000000005</v>
      </c>
      <c r="M71" s="67">
        <v>161</v>
      </c>
      <c r="N71" s="6" t="str">
        <f t="shared" si="3"/>
        <v>NIE</v>
      </c>
    </row>
    <row r="72" spans="1:14">
      <c r="A72" s="41"/>
      <c r="B72" s="1">
        <v>70</v>
      </c>
      <c r="C72" s="66">
        <v>0.74</v>
      </c>
      <c r="D72" s="66">
        <v>-0.9</v>
      </c>
      <c r="E72" s="66">
        <v>0.77514000000000005</v>
      </c>
      <c r="F72" s="66">
        <v>-0.77514000000000005</v>
      </c>
      <c r="G72" s="66">
        <v>1.24089</v>
      </c>
      <c r="H72" s="66">
        <v>234</v>
      </c>
      <c r="I72" s="68" t="str">
        <f t="shared" si="2"/>
        <v>NIE</v>
      </c>
      <c r="J72" s="66">
        <v>0.77508200000000005</v>
      </c>
      <c r="K72" s="66">
        <v>-0.77508200000000005</v>
      </c>
      <c r="L72" s="66">
        <v>1.24089</v>
      </c>
      <c r="M72" s="66">
        <v>173</v>
      </c>
      <c r="N72" s="6" t="str">
        <f t="shared" si="3"/>
        <v>NIE</v>
      </c>
    </row>
    <row r="73" spans="1:14">
      <c r="A73" s="41"/>
      <c r="B73" s="1">
        <v>71</v>
      </c>
      <c r="C73" s="67">
        <v>-0.41</v>
      </c>
      <c r="D73" s="67">
        <v>0.91</v>
      </c>
      <c r="E73" s="69">
        <v>3.4347499999999998E-16</v>
      </c>
      <c r="F73" s="67">
        <v>0.77514000000000005</v>
      </c>
      <c r="G73" s="67">
        <v>0.62044600000000005</v>
      </c>
      <c r="H73" s="67">
        <v>262</v>
      </c>
      <c r="I73" s="68" t="str">
        <f t="shared" si="2"/>
        <v>NIE</v>
      </c>
      <c r="J73" s="69">
        <v>3.0520200000000001E-7</v>
      </c>
      <c r="K73" s="67">
        <v>0.77508299999999997</v>
      </c>
      <c r="L73" s="67">
        <v>0.62044600000000005</v>
      </c>
      <c r="M73" s="67">
        <v>137</v>
      </c>
      <c r="N73" s="6" t="str">
        <f t="shared" si="3"/>
        <v>NIE</v>
      </c>
    </row>
    <row r="74" spans="1:14">
      <c r="A74" s="41"/>
      <c r="B74" s="1">
        <v>72</v>
      </c>
      <c r="C74" s="66">
        <v>0.99</v>
      </c>
      <c r="D74" s="66">
        <v>-0.5</v>
      </c>
      <c r="E74" s="66">
        <v>0.77514000000000005</v>
      </c>
      <c r="F74" s="66">
        <v>-0.77514000000000005</v>
      </c>
      <c r="G74" s="66">
        <v>1.24089</v>
      </c>
      <c r="H74" s="66">
        <v>256</v>
      </c>
      <c r="I74" s="68" t="str">
        <f t="shared" si="2"/>
        <v>NIE</v>
      </c>
      <c r="J74" s="66">
        <v>0.77508299999999997</v>
      </c>
      <c r="K74" s="66">
        <v>-0.77508299999999997</v>
      </c>
      <c r="L74" s="66">
        <v>1.24089</v>
      </c>
      <c r="M74" s="66">
        <v>323</v>
      </c>
      <c r="N74" s="6" t="str">
        <f t="shared" si="3"/>
        <v>NIE</v>
      </c>
    </row>
    <row r="75" spans="1:14">
      <c r="A75" s="41"/>
      <c r="B75" s="1">
        <v>73</v>
      </c>
      <c r="C75" s="67">
        <v>-0.26</v>
      </c>
      <c r="D75" s="67">
        <v>-0.83</v>
      </c>
      <c r="E75" s="69">
        <v>1.7520699999999999E-16</v>
      </c>
      <c r="F75" s="67">
        <v>-0.77514000000000005</v>
      </c>
      <c r="G75" s="67">
        <v>0.62044600000000005</v>
      </c>
      <c r="H75" s="67">
        <v>244</v>
      </c>
      <c r="I75" s="68" t="str">
        <f t="shared" si="2"/>
        <v>NIE</v>
      </c>
      <c r="J75" s="69">
        <v>-3.68289E-7</v>
      </c>
      <c r="K75" s="67">
        <v>-0.775084</v>
      </c>
      <c r="L75" s="67">
        <v>0.62044600000000005</v>
      </c>
      <c r="M75" s="67">
        <v>137</v>
      </c>
      <c r="N75" s="6" t="str">
        <f t="shared" si="3"/>
        <v>NIE</v>
      </c>
    </row>
    <row r="76" spans="1:14">
      <c r="A76" s="41"/>
      <c r="B76" s="1">
        <v>74</v>
      </c>
      <c r="C76" s="66">
        <v>-0.85</v>
      </c>
      <c r="D76" s="66">
        <v>0.39</v>
      </c>
      <c r="E76" s="66">
        <v>-0.77514000000000005</v>
      </c>
      <c r="F76" s="70">
        <v>-3.8684299999999999E-16</v>
      </c>
      <c r="G76" s="66">
        <v>0.62044600000000005</v>
      </c>
      <c r="H76" s="66">
        <v>267</v>
      </c>
      <c r="I76" s="68" t="str">
        <f t="shared" si="2"/>
        <v>NIE</v>
      </c>
      <c r="J76" s="66">
        <v>-0.775084</v>
      </c>
      <c r="K76" s="70">
        <v>5.0310900000000004E-7</v>
      </c>
      <c r="L76" s="66">
        <v>0.62044600000000005</v>
      </c>
      <c r="M76" s="66">
        <v>181</v>
      </c>
      <c r="N76" s="6" t="str">
        <f t="shared" si="3"/>
        <v>NIE</v>
      </c>
    </row>
    <row r="77" spans="1:14">
      <c r="A77" s="41"/>
      <c r="B77" s="1">
        <v>75</v>
      </c>
      <c r="C77" s="67">
        <v>0.75</v>
      </c>
      <c r="D77" s="67">
        <v>0.97</v>
      </c>
      <c r="E77" s="67">
        <v>0.77514000000000005</v>
      </c>
      <c r="F77" s="67">
        <v>0.77514000000000005</v>
      </c>
      <c r="G77" s="67">
        <v>1.24089</v>
      </c>
      <c r="H77" s="67">
        <v>231</v>
      </c>
      <c r="I77" s="68" t="str">
        <f t="shared" si="2"/>
        <v>NIE</v>
      </c>
      <c r="J77" s="67">
        <v>0.775084</v>
      </c>
      <c r="K77" s="67">
        <v>0.775084</v>
      </c>
      <c r="L77" s="67">
        <v>1.24089</v>
      </c>
      <c r="M77" s="67">
        <v>239</v>
      </c>
      <c r="N77" s="6" t="str">
        <f t="shared" si="3"/>
        <v>NIE</v>
      </c>
    </row>
    <row r="78" spans="1:14">
      <c r="A78" s="41"/>
      <c r="B78" s="1">
        <v>76</v>
      </c>
      <c r="C78" s="66">
        <v>-0.32</v>
      </c>
      <c r="D78" s="66">
        <v>-0.15</v>
      </c>
      <c r="E78" s="70">
        <v>2.6888199999999998E-16</v>
      </c>
      <c r="F78" s="70">
        <v>-1.73472E-17</v>
      </c>
      <c r="G78" s="66">
        <v>0</v>
      </c>
      <c r="H78" s="66">
        <v>159</v>
      </c>
      <c r="I78" s="68" t="str">
        <f t="shared" si="2"/>
        <v>TAK</v>
      </c>
      <c r="J78" s="70">
        <v>-5.4819899999999998E-8</v>
      </c>
      <c r="K78" s="70">
        <v>-4.5478399999999999E-9</v>
      </c>
      <c r="L78" s="70">
        <v>9.6367399999999998E-14</v>
      </c>
      <c r="M78" s="66">
        <v>279</v>
      </c>
      <c r="N78" s="6" t="str">
        <f t="shared" si="3"/>
        <v>TAK</v>
      </c>
    </row>
    <row r="79" spans="1:14">
      <c r="A79" s="41"/>
      <c r="B79" s="1">
        <v>77</v>
      </c>
      <c r="C79" s="67">
        <v>0.33</v>
      </c>
      <c r="D79" s="67">
        <v>-0.48</v>
      </c>
      <c r="E79" s="69">
        <v>-1.8388100000000001E-16</v>
      </c>
      <c r="F79" s="67">
        <v>-0.77514000000000005</v>
      </c>
      <c r="G79" s="67">
        <v>0.62044600000000005</v>
      </c>
      <c r="H79" s="67">
        <v>271</v>
      </c>
      <c r="I79" s="68" t="str">
        <f t="shared" si="2"/>
        <v>NIE</v>
      </c>
      <c r="J79" s="69">
        <v>-4.0235599999999997E-9</v>
      </c>
      <c r="K79" s="67">
        <v>-0.77508299999999997</v>
      </c>
      <c r="L79" s="67">
        <v>0.62044600000000005</v>
      </c>
      <c r="M79" s="67">
        <v>201</v>
      </c>
      <c r="N79" s="6" t="str">
        <f t="shared" si="3"/>
        <v>NIE</v>
      </c>
    </row>
    <row r="80" spans="1:14">
      <c r="A80" s="41"/>
      <c r="B80" s="1">
        <v>78</v>
      </c>
      <c r="C80" s="66">
        <v>-0.41</v>
      </c>
      <c r="D80" s="66">
        <v>-0.46</v>
      </c>
      <c r="E80" s="70">
        <v>2.91434E-16</v>
      </c>
      <c r="F80" s="66">
        <v>-0.77514000000000005</v>
      </c>
      <c r="G80" s="66">
        <v>0.62044600000000005</v>
      </c>
      <c r="H80" s="66">
        <v>265</v>
      </c>
      <c r="I80" s="68" t="str">
        <f t="shared" si="2"/>
        <v>NIE</v>
      </c>
      <c r="J80" s="70">
        <v>-4.1033000000000001E-8</v>
      </c>
      <c r="K80" s="66">
        <v>-0.775084</v>
      </c>
      <c r="L80" s="66">
        <v>0.62044600000000005</v>
      </c>
      <c r="M80" s="66">
        <v>181</v>
      </c>
      <c r="N80" s="6" t="str">
        <f t="shared" si="3"/>
        <v>NIE</v>
      </c>
    </row>
    <row r="81" spans="1:14">
      <c r="A81" s="41"/>
      <c r="B81" s="1">
        <v>79</v>
      </c>
      <c r="C81" s="67">
        <v>0.11</v>
      </c>
      <c r="D81" s="67">
        <v>0.65</v>
      </c>
      <c r="E81" s="69">
        <v>1.3530799999999999E-16</v>
      </c>
      <c r="F81" s="67">
        <v>0.77514000000000005</v>
      </c>
      <c r="G81" s="67">
        <v>0.62044600000000005</v>
      </c>
      <c r="H81" s="67">
        <v>251</v>
      </c>
      <c r="I81" s="68" t="str">
        <f t="shared" si="2"/>
        <v>NIE</v>
      </c>
      <c r="J81" s="69">
        <v>-1.5203699999999999E-8</v>
      </c>
      <c r="K81" s="67">
        <v>0.77508299999999997</v>
      </c>
      <c r="L81" s="67">
        <v>0.62044600000000005</v>
      </c>
      <c r="M81" s="67">
        <v>187</v>
      </c>
      <c r="N81" s="6" t="str">
        <f t="shared" si="3"/>
        <v>NIE</v>
      </c>
    </row>
    <row r="82" spans="1:14">
      <c r="A82" s="41"/>
      <c r="B82" s="1">
        <v>80</v>
      </c>
      <c r="C82" s="66">
        <v>0.82</v>
      </c>
      <c r="D82" s="66">
        <v>0.56000000000000005</v>
      </c>
      <c r="E82" s="66">
        <v>0.77514000000000005</v>
      </c>
      <c r="F82" s="66">
        <v>0.77514000000000005</v>
      </c>
      <c r="G82" s="66">
        <v>1.24089</v>
      </c>
      <c r="H82" s="66">
        <v>237</v>
      </c>
      <c r="I82" s="68" t="str">
        <f t="shared" si="2"/>
        <v>NIE</v>
      </c>
      <c r="J82" s="66">
        <v>0.775084</v>
      </c>
      <c r="K82" s="66">
        <v>0.77508299999999997</v>
      </c>
      <c r="L82" s="66">
        <v>1.24089</v>
      </c>
      <c r="M82" s="66">
        <v>213</v>
      </c>
      <c r="N82" s="6" t="str">
        <f t="shared" si="3"/>
        <v>NIE</v>
      </c>
    </row>
    <row r="83" spans="1:14">
      <c r="A83" s="41"/>
      <c r="B83" s="1">
        <v>81</v>
      </c>
      <c r="C83" s="67">
        <v>0.28000000000000003</v>
      </c>
      <c r="D83" s="67">
        <v>-0.67</v>
      </c>
      <c r="E83" s="69">
        <v>-1.8561500000000001E-16</v>
      </c>
      <c r="F83" s="67">
        <v>-0.77514000000000005</v>
      </c>
      <c r="G83" s="67">
        <v>0.62044600000000005</v>
      </c>
      <c r="H83" s="67">
        <v>266</v>
      </c>
      <c r="I83" s="68" t="str">
        <f t="shared" si="2"/>
        <v>NIE</v>
      </c>
      <c r="J83" s="69">
        <v>4.9898600000000001E-8</v>
      </c>
      <c r="K83" s="67">
        <v>-0.77508299999999997</v>
      </c>
      <c r="L83" s="67">
        <v>0.62044600000000005</v>
      </c>
      <c r="M83" s="67">
        <v>215</v>
      </c>
      <c r="N83" s="6" t="str">
        <f t="shared" si="3"/>
        <v>NIE</v>
      </c>
    </row>
    <row r="84" spans="1:14">
      <c r="A84" s="41"/>
      <c r="B84" s="1">
        <v>82</v>
      </c>
      <c r="C84" s="66">
        <v>-0.68</v>
      </c>
      <c r="D84" s="66">
        <v>0.52</v>
      </c>
      <c r="E84" s="66">
        <v>-0.77514000000000005</v>
      </c>
      <c r="F84" s="66">
        <v>0.77514000000000005</v>
      </c>
      <c r="G84" s="66">
        <v>1.24089</v>
      </c>
      <c r="H84" s="66">
        <v>248</v>
      </c>
      <c r="I84" s="68" t="str">
        <f t="shared" si="2"/>
        <v>NIE</v>
      </c>
      <c r="J84" s="66">
        <v>-0.775084</v>
      </c>
      <c r="K84" s="66">
        <v>0.77508299999999997</v>
      </c>
      <c r="L84" s="66">
        <v>1.24089</v>
      </c>
      <c r="M84" s="66">
        <v>259</v>
      </c>
      <c r="N84" s="6" t="str">
        <f t="shared" si="3"/>
        <v>NIE</v>
      </c>
    </row>
    <row r="85" spans="1:14">
      <c r="A85" s="41"/>
      <c r="B85" s="1">
        <v>83</v>
      </c>
      <c r="C85" s="67">
        <v>-0.64</v>
      </c>
      <c r="D85" s="67">
        <v>-0.56999999999999995</v>
      </c>
      <c r="E85" s="67">
        <v>-0.77514000000000005</v>
      </c>
      <c r="F85" s="67">
        <v>-0.77514000000000005</v>
      </c>
      <c r="G85" s="67">
        <v>1.24089</v>
      </c>
      <c r="H85" s="67">
        <v>246</v>
      </c>
      <c r="I85" s="68" t="str">
        <f t="shared" si="2"/>
        <v>NIE</v>
      </c>
      <c r="J85" s="67">
        <v>-0.775084</v>
      </c>
      <c r="K85" s="67">
        <v>-0.77508299999999997</v>
      </c>
      <c r="L85" s="67">
        <v>1.24089</v>
      </c>
      <c r="M85" s="67">
        <v>171</v>
      </c>
      <c r="N85" s="6" t="str">
        <f t="shared" si="3"/>
        <v>NIE</v>
      </c>
    </row>
    <row r="86" spans="1:14">
      <c r="A86" s="41"/>
      <c r="B86" s="1">
        <v>84</v>
      </c>
      <c r="C86" s="66">
        <v>-0.9</v>
      </c>
      <c r="D86" s="66">
        <v>-0.47</v>
      </c>
      <c r="E86" s="66">
        <v>-0.77514000000000005</v>
      </c>
      <c r="F86" s="66">
        <v>-0.77514000000000005</v>
      </c>
      <c r="G86" s="66">
        <v>1.24089</v>
      </c>
      <c r="H86" s="66">
        <v>258</v>
      </c>
      <c r="I86" s="68" t="str">
        <f t="shared" si="2"/>
        <v>NIE</v>
      </c>
      <c r="J86" s="66">
        <v>-0.77508299999999997</v>
      </c>
      <c r="K86" s="66">
        <v>-0.77508299999999997</v>
      </c>
      <c r="L86" s="66">
        <v>1.24089</v>
      </c>
      <c r="M86" s="66">
        <v>231</v>
      </c>
      <c r="N86" s="6" t="str">
        <f t="shared" si="3"/>
        <v>NIE</v>
      </c>
    </row>
    <row r="87" spans="1:14">
      <c r="A87" s="41"/>
      <c r="B87" s="1">
        <v>85</v>
      </c>
      <c r="C87" s="67">
        <v>0.57999999999999996</v>
      </c>
      <c r="D87" s="67">
        <v>0.37</v>
      </c>
      <c r="E87" s="67">
        <v>0.77514000000000005</v>
      </c>
      <c r="F87" s="69">
        <v>-1.7694200000000001E-16</v>
      </c>
      <c r="G87" s="67">
        <v>0.62044600000000005</v>
      </c>
      <c r="H87" s="67">
        <v>283</v>
      </c>
      <c r="I87" s="68" t="str">
        <f t="shared" si="2"/>
        <v>NIE</v>
      </c>
      <c r="J87" s="67">
        <v>0.77508299999999997</v>
      </c>
      <c r="K87" s="69">
        <v>3.3819099999999999E-8</v>
      </c>
      <c r="L87" s="67">
        <v>0.62044600000000005</v>
      </c>
      <c r="M87" s="67">
        <v>155</v>
      </c>
      <c r="N87" s="6" t="str">
        <f t="shared" si="3"/>
        <v>NIE</v>
      </c>
    </row>
    <row r="88" spans="1:14">
      <c r="A88" s="41"/>
      <c r="B88" s="1">
        <v>86</v>
      </c>
      <c r="C88" s="66">
        <v>-0.84</v>
      </c>
      <c r="D88" s="66">
        <v>-0.82</v>
      </c>
      <c r="E88" s="66">
        <v>-0.77514000000000005</v>
      </c>
      <c r="F88" s="66">
        <v>-0.77514000000000005</v>
      </c>
      <c r="G88" s="66">
        <v>1.24089</v>
      </c>
      <c r="H88" s="66">
        <v>216</v>
      </c>
      <c r="I88" s="68" t="str">
        <f t="shared" si="2"/>
        <v>NIE</v>
      </c>
      <c r="J88" s="66">
        <v>-0.77508299999999997</v>
      </c>
      <c r="K88" s="66">
        <v>-0.77508299999999997</v>
      </c>
      <c r="L88" s="66">
        <v>1.24089</v>
      </c>
      <c r="M88" s="66">
        <v>255</v>
      </c>
      <c r="N88" s="6" t="str">
        <f t="shared" si="3"/>
        <v>NIE</v>
      </c>
    </row>
    <row r="89" spans="1:14">
      <c r="A89" s="41"/>
      <c r="B89" s="1">
        <v>87</v>
      </c>
      <c r="C89" s="67">
        <v>0.28000000000000003</v>
      </c>
      <c r="D89" s="67">
        <v>-0.85</v>
      </c>
      <c r="E89" s="69">
        <v>-1.8561500000000001E-16</v>
      </c>
      <c r="F89" s="67">
        <v>-0.77514000000000005</v>
      </c>
      <c r="G89" s="67">
        <v>0.62044600000000005</v>
      </c>
      <c r="H89" s="67">
        <v>258</v>
      </c>
      <c r="I89" s="68" t="str">
        <f t="shared" si="2"/>
        <v>NIE</v>
      </c>
      <c r="J89" s="69">
        <v>1.34529E-7</v>
      </c>
      <c r="K89" s="67">
        <v>-0.775084</v>
      </c>
      <c r="L89" s="67">
        <v>0.62044600000000005</v>
      </c>
      <c r="M89" s="67">
        <v>221</v>
      </c>
      <c r="N89" s="6" t="str">
        <f t="shared" si="3"/>
        <v>NIE</v>
      </c>
    </row>
    <row r="90" spans="1:14">
      <c r="A90" s="41"/>
      <c r="B90" s="1">
        <v>88</v>
      </c>
      <c r="C90" s="66">
        <v>-0.8</v>
      </c>
      <c r="D90" s="66">
        <v>0.55000000000000004</v>
      </c>
      <c r="E90" s="66">
        <v>-0.77514000000000005</v>
      </c>
      <c r="F90" s="66">
        <v>0.77514000000000005</v>
      </c>
      <c r="G90" s="66">
        <v>1.24089</v>
      </c>
      <c r="H90" s="66">
        <v>243</v>
      </c>
      <c r="I90" s="68" t="str">
        <f t="shared" si="2"/>
        <v>NIE</v>
      </c>
      <c r="J90" s="66">
        <v>-0.77508500000000002</v>
      </c>
      <c r="K90" s="66">
        <v>0.77507000000000004</v>
      </c>
      <c r="L90" s="66">
        <v>1.24089</v>
      </c>
      <c r="M90" s="66">
        <v>73</v>
      </c>
      <c r="N90" s="6" t="str">
        <f t="shared" si="3"/>
        <v>NIE</v>
      </c>
    </row>
    <row r="91" spans="1:14">
      <c r="A91" s="41"/>
      <c r="B91" s="1">
        <v>89</v>
      </c>
      <c r="C91" s="67">
        <v>-0.67</v>
      </c>
      <c r="D91" s="67">
        <v>-0.65</v>
      </c>
      <c r="E91" s="67">
        <v>-0.77514000000000005</v>
      </c>
      <c r="F91" s="67">
        <v>-0.77514000000000005</v>
      </c>
      <c r="G91" s="67">
        <v>1.24089</v>
      </c>
      <c r="H91" s="67">
        <v>237</v>
      </c>
      <c r="I91" s="68" t="str">
        <f t="shared" si="2"/>
        <v>NIE</v>
      </c>
      <c r="J91" s="67">
        <v>-0.77508299999999997</v>
      </c>
      <c r="K91" s="67">
        <v>-0.775084</v>
      </c>
      <c r="L91" s="67">
        <v>1.24089</v>
      </c>
      <c r="M91" s="67">
        <v>221</v>
      </c>
      <c r="N91" s="6" t="str">
        <f t="shared" si="3"/>
        <v>NIE</v>
      </c>
    </row>
    <row r="92" spans="1:14">
      <c r="A92" s="41"/>
      <c r="B92" s="1">
        <v>90</v>
      </c>
      <c r="C92" s="66">
        <v>-0.54</v>
      </c>
      <c r="D92" s="66">
        <v>0.6</v>
      </c>
      <c r="E92" s="66">
        <v>-0.77514000000000005</v>
      </c>
      <c r="F92" s="66">
        <v>0.77514000000000005</v>
      </c>
      <c r="G92" s="66">
        <v>1.24089</v>
      </c>
      <c r="H92" s="66">
        <v>243</v>
      </c>
      <c r="I92" s="68" t="str">
        <f t="shared" si="2"/>
        <v>NIE</v>
      </c>
      <c r="J92" s="66">
        <v>-0.77508299999999997</v>
      </c>
      <c r="K92" s="66">
        <v>0.77508299999999997</v>
      </c>
      <c r="L92" s="66">
        <v>1.24089</v>
      </c>
      <c r="M92" s="66">
        <v>215</v>
      </c>
      <c r="N92" s="6" t="str">
        <f t="shared" si="3"/>
        <v>NIE</v>
      </c>
    </row>
    <row r="93" spans="1:14">
      <c r="A93" s="41"/>
      <c r="B93" s="1">
        <v>91</v>
      </c>
      <c r="C93" s="67">
        <v>0.85</v>
      </c>
      <c r="D93" s="67">
        <v>-0.34</v>
      </c>
      <c r="E93" s="67">
        <v>0.77514000000000005</v>
      </c>
      <c r="F93" s="69">
        <v>3.2786300000000002E-16</v>
      </c>
      <c r="G93" s="67">
        <v>0.62044600000000005</v>
      </c>
      <c r="H93" s="67">
        <v>247</v>
      </c>
      <c r="I93" s="68" t="str">
        <f t="shared" si="2"/>
        <v>NIE</v>
      </c>
      <c r="J93" s="67">
        <v>0.775084</v>
      </c>
      <c r="K93" s="69">
        <v>2.1764699999999999E-7</v>
      </c>
      <c r="L93" s="67">
        <v>0.62044600000000005</v>
      </c>
      <c r="M93" s="67">
        <v>191</v>
      </c>
      <c r="N93" s="6" t="str">
        <f t="shared" si="3"/>
        <v>NIE</v>
      </c>
    </row>
    <row r="94" spans="1:14">
      <c r="A94" s="41"/>
      <c r="B94" s="1">
        <v>92</v>
      </c>
      <c r="C94" s="66">
        <v>-0.55000000000000004</v>
      </c>
      <c r="D94" s="66">
        <v>-0.3</v>
      </c>
      <c r="E94" s="66">
        <v>-0.77514000000000005</v>
      </c>
      <c r="F94" s="70">
        <v>1.70003E-16</v>
      </c>
      <c r="G94" s="66">
        <v>0.62044600000000005</v>
      </c>
      <c r="H94" s="66">
        <v>256</v>
      </c>
      <c r="I94" s="68" t="str">
        <f t="shared" si="2"/>
        <v>NIE</v>
      </c>
      <c r="J94" s="66">
        <v>-0.775084</v>
      </c>
      <c r="K94" s="70">
        <v>4.0700199999999998E-8</v>
      </c>
      <c r="L94" s="66">
        <v>0.62044600000000005</v>
      </c>
      <c r="M94" s="66">
        <v>255</v>
      </c>
      <c r="N94" s="6" t="str">
        <f t="shared" si="3"/>
        <v>NIE</v>
      </c>
    </row>
    <row r="95" spans="1:14">
      <c r="A95" s="41"/>
      <c r="B95" s="1">
        <v>93</v>
      </c>
      <c r="C95" s="67">
        <v>0.18</v>
      </c>
      <c r="D95" s="67">
        <v>-0.44</v>
      </c>
      <c r="E95" s="69">
        <v>-1.3357399999999999E-16</v>
      </c>
      <c r="F95" s="67">
        <v>-0.77514000000000005</v>
      </c>
      <c r="G95" s="67">
        <v>0.62044600000000005</v>
      </c>
      <c r="H95" s="67">
        <v>269</v>
      </c>
      <c r="I95" s="68" t="str">
        <f t="shared" si="2"/>
        <v>NIE</v>
      </c>
      <c r="J95" s="69">
        <v>-1.7691299999999999E-8</v>
      </c>
      <c r="K95" s="67">
        <v>-0.775084</v>
      </c>
      <c r="L95" s="67">
        <v>0.62044600000000005</v>
      </c>
      <c r="M95" s="67">
        <v>259</v>
      </c>
      <c r="N95" s="6" t="str">
        <f t="shared" si="3"/>
        <v>NIE</v>
      </c>
    </row>
    <row r="96" spans="1:14">
      <c r="A96" s="41"/>
      <c r="B96" s="1">
        <v>94</v>
      </c>
      <c r="C96" s="66">
        <v>0.24</v>
      </c>
      <c r="D96" s="66">
        <v>0.81</v>
      </c>
      <c r="E96" s="70">
        <v>-1.9082000000000001E-16</v>
      </c>
      <c r="F96" s="66">
        <v>0.77514000000000005</v>
      </c>
      <c r="G96" s="66">
        <v>0.62044600000000005</v>
      </c>
      <c r="H96" s="66">
        <v>262</v>
      </c>
      <c r="I96" s="68" t="str">
        <f t="shared" si="2"/>
        <v>NIE</v>
      </c>
      <c r="J96" s="70">
        <v>2.5062100000000002E-9</v>
      </c>
      <c r="K96" s="66">
        <v>0.775084</v>
      </c>
      <c r="L96" s="66">
        <v>0.62044600000000005</v>
      </c>
      <c r="M96" s="66">
        <v>223</v>
      </c>
      <c r="N96" s="6" t="str">
        <f t="shared" si="3"/>
        <v>NIE</v>
      </c>
    </row>
    <row r="97" spans="1:14">
      <c r="A97" s="41"/>
      <c r="B97" s="1">
        <v>95</v>
      </c>
      <c r="C97" s="67">
        <v>0.74</v>
      </c>
      <c r="D97" s="67">
        <v>0.06</v>
      </c>
      <c r="E97" s="67">
        <v>0.77514000000000005</v>
      </c>
      <c r="F97" s="69">
        <v>4.33681E-17</v>
      </c>
      <c r="G97" s="67">
        <v>0.62044600000000005</v>
      </c>
      <c r="H97" s="67">
        <v>230</v>
      </c>
      <c r="I97" s="68" t="str">
        <f t="shared" si="2"/>
        <v>NIE</v>
      </c>
      <c r="J97" s="67">
        <v>0.775084</v>
      </c>
      <c r="K97" s="69">
        <v>-2.4384500000000002E-7</v>
      </c>
      <c r="L97" s="67">
        <v>0.62044600000000005</v>
      </c>
      <c r="M97" s="67">
        <v>169</v>
      </c>
      <c r="N97" s="6" t="str">
        <f t="shared" si="3"/>
        <v>NIE</v>
      </c>
    </row>
    <row r="98" spans="1:14">
      <c r="A98" s="41"/>
      <c r="B98" s="1">
        <v>96</v>
      </c>
      <c r="C98" s="66">
        <v>0.38</v>
      </c>
      <c r="D98" s="66">
        <v>0.02</v>
      </c>
      <c r="E98" s="70">
        <v>-3.92048E-16</v>
      </c>
      <c r="F98" s="70">
        <v>1.73472E-17</v>
      </c>
      <c r="G98" s="66">
        <v>0</v>
      </c>
      <c r="H98" s="66">
        <v>162</v>
      </c>
      <c r="I98" s="68" t="str">
        <f t="shared" si="2"/>
        <v>TAK</v>
      </c>
      <c r="J98" s="70">
        <v>1.30884E-7</v>
      </c>
      <c r="K98" s="70">
        <v>-5.3058599999999998E-7</v>
      </c>
      <c r="L98" s="70">
        <v>9.5003999999999994E-12</v>
      </c>
      <c r="M98" s="66">
        <v>175</v>
      </c>
      <c r="N98" s="6" t="str">
        <f t="shared" si="3"/>
        <v>TAK</v>
      </c>
    </row>
    <row r="99" spans="1:14">
      <c r="A99" s="41"/>
      <c r="B99" s="1">
        <v>97</v>
      </c>
      <c r="C99" s="67">
        <v>-0.09</v>
      </c>
      <c r="D99" s="67">
        <v>0.22</v>
      </c>
      <c r="E99" s="69">
        <v>8.6736199999999993E-18</v>
      </c>
      <c r="F99" s="69">
        <v>-1.3530799999999999E-16</v>
      </c>
      <c r="G99" s="67">
        <v>0</v>
      </c>
      <c r="H99" s="67">
        <v>149</v>
      </c>
      <c r="I99" s="68" t="str">
        <f t="shared" si="2"/>
        <v>TAK</v>
      </c>
      <c r="J99" s="69">
        <v>-1.98576E-8</v>
      </c>
      <c r="K99" s="69">
        <v>-1.5053E-9</v>
      </c>
      <c r="L99" s="69">
        <v>1.26565E-14</v>
      </c>
      <c r="M99" s="67">
        <v>207</v>
      </c>
      <c r="N99" s="6" t="str">
        <f t="shared" si="3"/>
        <v>TAK</v>
      </c>
    </row>
    <row r="100" spans="1:14">
      <c r="A100" s="41"/>
      <c r="B100" s="1">
        <v>98</v>
      </c>
      <c r="C100" s="66">
        <v>-0.46</v>
      </c>
      <c r="D100" s="66">
        <v>0.28000000000000003</v>
      </c>
      <c r="E100" s="66">
        <v>-0.77514000000000005</v>
      </c>
      <c r="F100" s="70">
        <v>-1.8561500000000001E-16</v>
      </c>
      <c r="G100" s="66">
        <v>0.62044600000000005</v>
      </c>
      <c r="H100" s="66">
        <v>269</v>
      </c>
      <c r="I100" s="68" t="str">
        <f t="shared" si="2"/>
        <v>NIE</v>
      </c>
      <c r="J100" s="66">
        <v>-0.77508299999999997</v>
      </c>
      <c r="K100" s="70">
        <v>8.08836E-9</v>
      </c>
      <c r="L100" s="66">
        <v>0.62044600000000005</v>
      </c>
      <c r="M100" s="66">
        <v>219</v>
      </c>
      <c r="N100" s="6" t="str">
        <f t="shared" si="3"/>
        <v>NIE</v>
      </c>
    </row>
    <row r="101" spans="1:14">
      <c r="A101" s="41"/>
      <c r="B101" s="1">
        <v>99</v>
      </c>
      <c r="C101" s="67">
        <v>0.65</v>
      </c>
      <c r="D101" s="67">
        <v>-0.83</v>
      </c>
      <c r="E101" s="67">
        <v>0.77514000000000005</v>
      </c>
      <c r="F101" s="67">
        <v>-0.77514000000000005</v>
      </c>
      <c r="G101" s="67">
        <v>1.24089</v>
      </c>
      <c r="H101" s="67">
        <v>234</v>
      </c>
      <c r="I101" s="68" t="str">
        <f t="shared" si="2"/>
        <v>NIE</v>
      </c>
      <c r="J101" s="67">
        <v>0.77508299999999997</v>
      </c>
      <c r="K101" s="67">
        <v>-0.775084</v>
      </c>
      <c r="L101" s="67">
        <v>1.24089</v>
      </c>
      <c r="M101" s="67">
        <v>113</v>
      </c>
      <c r="N101" s="6" t="str">
        <f t="shared" si="3"/>
        <v>NIE</v>
      </c>
    </row>
    <row r="102" spans="1:14" ht="15.75" thickBot="1">
      <c r="A102" s="42"/>
      <c r="B102" s="3">
        <v>100</v>
      </c>
      <c r="C102" s="66">
        <v>0.33</v>
      </c>
      <c r="D102" s="66">
        <v>-0.25</v>
      </c>
      <c r="E102" s="70">
        <v>-1.52656E-16</v>
      </c>
      <c r="F102" s="70">
        <v>1.8388100000000001E-16</v>
      </c>
      <c r="G102" s="66">
        <v>0</v>
      </c>
      <c r="H102" s="66">
        <v>156</v>
      </c>
      <c r="I102" s="68" t="str">
        <f t="shared" si="2"/>
        <v>TAK</v>
      </c>
      <c r="J102" s="70">
        <v>8.2969400000000002E-7</v>
      </c>
      <c r="K102" s="70">
        <v>7.6187799999999999E-7</v>
      </c>
      <c r="L102" s="70">
        <v>4.03637E-11</v>
      </c>
      <c r="M102" s="66">
        <v>237</v>
      </c>
      <c r="N102" s="6" t="str">
        <f t="shared" si="3"/>
        <v>TAK</v>
      </c>
    </row>
    <row r="103" spans="1:14">
      <c r="A103" s="40">
        <v>1E-3</v>
      </c>
      <c r="B103" s="5">
        <v>1</v>
      </c>
      <c r="C103" s="67">
        <v>-0.91</v>
      </c>
      <c r="D103" s="67">
        <v>0.26</v>
      </c>
      <c r="E103" s="67">
        <v>-0.77513399999999999</v>
      </c>
      <c r="F103" s="69">
        <v>-2.2377899999999999E-16</v>
      </c>
      <c r="G103" s="64">
        <v>0.62044600000000005</v>
      </c>
      <c r="H103" s="64">
        <v>241</v>
      </c>
      <c r="I103" s="68" t="str">
        <f t="shared" si="2"/>
        <v>NIE</v>
      </c>
      <c r="J103" s="67">
        <v>-0.77508299999999997</v>
      </c>
      <c r="K103" s="69">
        <v>-1.44746E-8</v>
      </c>
      <c r="L103" s="64">
        <v>0.62044600000000005</v>
      </c>
      <c r="M103" s="65">
        <v>221</v>
      </c>
      <c r="N103" s="6" t="str">
        <f t="shared" si="3"/>
        <v>NIE</v>
      </c>
    </row>
    <row r="104" spans="1:14">
      <c r="A104" s="41"/>
      <c r="B104" s="1">
        <v>2</v>
      </c>
      <c r="C104" s="66">
        <v>-0.84</v>
      </c>
      <c r="D104" s="66">
        <v>0.43</v>
      </c>
      <c r="E104" s="66">
        <v>-0.77513399999999999</v>
      </c>
      <c r="F104" s="66">
        <v>0.77513399999999999</v>
      </c>
      <c r="G104" s="66">
        <v>1.24089</v>
      </c>
      <c r="H104" s="66">
        <v>214</v>
      </c>
      <c r="I104" s="68" t="str">
        <f t="shared" si="2"/>
        <v>NIE</v>
      </c>
      <c r="J104" s="66">
        <v>-0.77508299999999997</v>
      </c>
      <c r="K104" s="66">
        <v>0.77508299999999997</v>
      </c>
      <c r="L104" s="66">
        <v>1.24089</v>
      </c>
      <c r="M104" s="66">
        <v>217</v>
      </c>
      <c r="N104" s="6" t="str">
        <f t="shared" si="3"/>
        <v>NIE</v>
      </c>
    </row>
    <row r="105" spans="1:14">
      <c r="A105" s="41"/>
      <c r="B105" s="1">
        <v>3</v>
      </c>
      <c r="C105" s="67">
        <v>-0.11</v>
      </c>
      <c r="D105" s="67">
        <v>0.63</v>
      </c>
      <c r="E105" s="69">
        <v>1.12757E-16</v>
      </c>
      <c r="F105" s="67">
        <v>0.77513399999999999</v>
      </c>
      <c r="G105" s="67">
        <v>0.62044600000000005</v>
      </c>
      <c r="H105" s="67">
        <v>164</v>
      </c>
      <c r="I105" s="68" t="str">
        <f t="shared" si="2"/>
        <v>NIE</v>
      </c>
      <c r="J105" s="69">
        <v>4.9336799999999997E-7</v>
      </c>
      <c r="K105" s="67">
        <v>0.77508299999999997</v>
      </c>
      <c r="L105" s="67">
        <v>0.62044600000000005</v>
      </c>
      <c r="M105" s="67">
        <v>167</v>
      </c>
      <c r="N105" s="6" t="str">
        <f t="shared" si="3"/>
        <v>NIE</v>
      </c>
    </row>
    <row r="106" spans="1:14">
      <c r="A106" s="41"/>
      <c r="B106" s="1">
        <v>4</v>
      </c>
      <c r="C106" s="66">
        <v>0.42</v>
      </c>
      <c r="D106" s="66">
        <v>0.72</v>
      </c>
      <c r="E106" s="66">
        <v>0.77513399999999999</v>
      </c>
      <c r="F106" s="66">
        <v>0.77513399999999999</v>
      </c>
      <c r="G106" s="66">
        <v>1.24089</v>
      </c>
      <c r="H106" s="66">
        <v>212</v>
      </c>
      <c r="I106" s="68" t="str">
        <f t="shared" si="2"/>
        <v>NIE</v>
      </c>
      <c r="J106" s="66">
        <v>0.775084</v>
      </c>
      <c r="K106" s="66">
        <v>0.77508299999999997</v>
      </c>
      <c r="L106" s="66">
        <v>1.24089</v>
      </c>
      <c r="M106" s="66">
        <v>183</v>
      </c>
      <c r="N106" s="6" t="str">
        <f t="shared" si="3"/>
        <v>NIE</v>
      </c>
    </row>
    <row r="107" spans="1:14">
      <c r="A107" s="41"/>
      <c r="B107" s="1">
        <v>5</v>
      </c>
      <c r="C107" s="67">
        <v>-0.32</v>
      </c>
      <c r="D107" s="67">
        <v>-0.53</v>
      </c>
      <c r="E107" s="69">
        <v>3.3740399999999999E-16</v>
      </c>
      <c r="F107" s="67">
        <v>-0.77513399999999999</v>
      </c>
      <c r="G107" s="67">
        <v>0.62044600000000005</v>
      </c>
      <c r="H107" s="67">
        <v>222</v>
      </c>
      <c r="I107" s="68" t="str">
        <f t="shared" si="2"/>
        <v>NIE</v>
      </c>
      <c r="J107" s="69">
        <v>-1.2419E-7</v>
      </c>
      <c r="K107" s="67">
        <v>-0.77508299999999997</v>
      </c>
      <c r="L107" s="67">
        <v>0.62044600000000005</v>
      </c>
      <c r="M107" s="67">
        <v>185</v>
      </c>
      <c r="N107" s="6" t="str">
        <f t="shared" si="3"/>
        <v>NIE</v>
      </c>
    </row>
    <row r="108" spans="1:14">
      <c r="A108" s="41"/>
      <c r="B108" s="1">
        <v>6</v>
      </c>
      <c r="C108" s="66">
        <v>-0.82</v>
      </c>
      <c r="D108" s="66">
        <v>-0.38</v>
      </c>
      <c r="E108" s="66">
        <v>-0.77513399999999999</v>
      </c>
      <c r="F108" s="70">
        <v>3.3046499999999999E-16</v>
      </c>
      <c r="G108" s="66">
        <v>0.62044600000000005</v>
      </c>
      <c r="H108" s="66">
        <v>191</v>
      </c>
      <c r="I108" s="68" t="str">
        <f t="shared" si="2"/>
        <v>NIE</v>
      </c>
      <c r="J108" s="66">
        <v>-0.77508299999999997</v>
      </c>
      <c r="K108" s="70">
        <v>-7.5502499999999997E-8</v>
      </c>
      <c r="L108" s="66">
        <v>0.62044600000000005</v>
      </c>
      <c r="M108" s="66">
        <v>151</v>
      </c>
      <c r="N108" s="6" t="str">
        <f t="shared" si="3"/>
        <v>NIE</v>
      </c>
    </row>
    <row r="109" spans="1:14">
      <c r="A109" s="41"/>
      <c r="B109" s="1">
        <v>7</v>
      </c>
      <c r="C109" s="67">
        <v>-0.17</v>
      </c>
      <c r="D109" s="67">
        <v>0.35</v>
      </c>
      <c r="E109" s="69">
        <v>1.1189E-16</v>
      </c>
      <c r="F109" s="69">
        <v>-2.2724899999999998E-16</v>
      </c>
      <c r="G109" s="67">
        <v>0</v>
      </c>
      <c r="H109" s="67">
        <v>250</v>
      </c>
      <c r="I109" s="68" t="str">
        <f t="shared" si="2"/>
        <v>TAK</v>
      </c>
      <c r="J109" s="69">
        <v>6.1714000000000006E-8</v>
      </c>
      <c r="K109" s="69">
        <v>-1.8404200000000001E-8</v>
      </c>
      <c r="L109" s="69">
        <v>1.3189399999999999E-13</v>
      </c>
      <c r="M109" s="67">
        <v>247</v>
      </c>
      <c r="N109" s="6" t="str">
        <f t="shared" si="3"/>
        <v>TAK</v>
      </c>
    </row>
    <row r="110" spans="1:14">
      <c r="A110" s="41"/>
      <c r="B110" s="1">
        <v>8</v>
      </c>
      <c r="C110" s="66">
        <v>0.99</v>
      </c>
      <c r="D110" s="66">
        <v>0.21</v>
      </c>
      <c r="E110" s="66">
        <v>0.77513399999999999</v>
      </c>
      <c r="F110" s="70">
        <v>-2.21177E-16</v>
      </c>
      <c r="G110" s="66">
        <v>0.62044600000000005</v>
      </c>
      <c r="H110" s="66">
        <v>186</v>
      </c>
      <c r="I110" s="68" t="str">
        <f t="shared" si="2"/>
        <v>NIE</v>
      </c>
      <c r="J110" s="66">
        <v>0.775084</v>
      </c>
      <c r="K110" s="70">
        <v>3.0202299999999998E-7</v>
      </c>
      <c r="L110" s="66">
        <v>0.62044600000000005</v>
      </c>
      <c r="M110" s="66">
        <v>189</v>
      </c>
      <c r="N110" s="6" t="str">
        <f t="shared" si="3"/>
        <v>NIE</v>
      </c>
    </row>
    <row r="111" spans="1:14">
      <c r="A111" s="41"/>
      <c r="B111" s="1">
        <v>9</v>
      </c>
      <c r="C111" s="67">
        <v>0.49</v>
      </c>
      <c r="D111" s="67">
        <v>-0.28999999999999998</v>
      </c>
      <c r="E111" s="67">
        <v>0.77513399999999999</v>
      </c>
      <c r="F111" s="69">
        <v>2.2898299999999998E-16</v>
      </c>
      <c r="G111" s="67">
        <v>0.62044600000000005</v>
      </c>
      <c r="H111" s="67">
        <v>177</v>
      </c>
      <c r="I111" s="68" t="str">
        <f t="shared" si="2"/>
        <v>NIE</v>
      </c>
      <c r="J111" s="67">
        <v>0.77508299999999997</v>
      </c>
      <c r="K111" s="69">
        <v>-7.9159100000000006E-9</v>
      </c>
      <c r="L111" s="67">
        <v>0.62044600000000005</v>
      </c>
      <c r="M111" s="67">
        <v>205</v>
      </c>
      <c r="N111" s="6" t="str">
        <f t="shared" si="3"/>
        <v>NIE</v>
      </c>
    </row>
    <row r="112" spans="1:14">
      <c r="A112" s="41"/>
      <c r="B112" s="1">
        <v>10</v>
      </c>
      <c r="C112" s="66">
        <v>-7.0000000000000007E-2</v>
      </c>
      <c r="D112" s="66">
        <v>-0.48</v>
      </c>
      <c r="E112" s="70">
        <v>1.14492E-16</v>
      </c>
      <c r="F112" s="66">
        <v>-0.77513399999999999</v>
      </c>
      <c r="G112" s="66">
        <v>0.62044600000000005</v>
      </c>
      <c r="H112" s="66">
        <v>236</v>
      </c>
      <c r="I112" s="68" t="str">
        <f t="shared" si="2"/>
        <v>NIE</v>
      </c>
      <c r="J112" s="70">
        <v>3.1012200000000001E-5</v>
      </c>
      <c r="K112" s="66">
        <v>-0.77507400000000004</v>
      </c>
      <c r="L112" s="66">
        <v>0.62044600000000005</v>
      </c>
      <c r="M112" s="66">
        <v>155</v>
      </c>
      <c r="N112" s="6" t="str">
        <f t="shared" si="3"/>
        <v>NIE</v>
      </c>
    </row>
    <row r="113" spans="1:14">
      <c r="A113" s="41"/>
      <c r="B113" s="1">
        <v>11</v>
      </c>
      <c r="C113" s="67">
        <v>0.2</v>
      </c>
      <c r="D113" s="67">
        <v>0.99</v>
      </c>
      <c r="E113" s="69">
        <v>-2.2898299999999998E-16</v>
      </c>
      <c r="F113" s="67">
        <v>0.77513399999999999</v>
      </c>
      <c r="G113" s="67">
        <v>0.62044600000000005</v>
      </c>
      <c r="H113" s="67">
        <v>195</v>
      </c>
      <c r="I113" s="68" t="str">
        <f t="shared" si="2"/>
        <v>NIE</v>
      </c>
      <c r="J113" s="69">
        <v>-1.67482E-8</v>
      </c>
      <c r="K113" s="67">
        <v>0.77508299999999997</v>
      </c>
      <c r="L113" s="67">
        <v>0.62044600000000005</v>
      </c>
      <c r="M113" s="67">
        <v>173</v>
      </c>
      <c r="N113" s="6" t="str">
        <f t="shared" si="3"/>
        <v>NIE</v>
      </c>
    </row>
    <row r="114" spans="1:14">
      <c r="A114" s="41"/>
      <c r="B114" s="1">
        <v>12</v>
      </c>
      <c r="C114" s="66">
        <v>0.54</v>
      </c>
      <c r="D114" s="66">
        <v>0.2</v>
      </c>
      <c r="E114" s="66">
        <v>0.77513399999999999</v>
      </c>
      <c r="F114" s="70">
        <v>-2.2204499999999999E-16</v>
      </c>
      <c r="G114" s="66">
        <v>0.62044600000000005</v>
      </c>
      <c r="H114" s="66">
        <v>191</v>
      </c>
      <c r="I114" s="68" t="str">
        <f t="shared" si="2"/>
        <v>NIE</v>
      </c>
      <c r="J114" s="66">
        <v>0.775084</v>
      </c>
      <c r="K114" s="70">
        <v>8.8932100000000005E-7</v>
      </c>
      <c r="L114" s="66">
        <v>0.62044600000000005</v>
      </c>
      <c r="M114" s="66">
        <v>195</v>
      </c>
      <c r="N114" s="6" t="str">
        <f t="shared" si="3"/>
        <v>NIE</v>
      </c>
    </row>
    <row r="115" spans="1:14">
      <c r="A115" s="41"/>
      <c r="B115" s="1">
        <v>13</v>
      </c>
      <c r="C115" s="67">
        <v>0.37</v>
      </c>
      <c r="D115" s="67">
        <v>-0.39</v>
      </c>
      <c r="E115" s="69">
        <v>-2.2811599999999998E-16</v>
      </c>
      <c r="F115" s="69">
        <v>3.2873000000000002E-16</v>
      </c>
      <c r="G115" s="67">
        <v>0</v>
      </c>
      <c r="H115" s="67">
        <v>197</v>
      </c>
      <c r="I115" s="68" t="str">
        <f t="shared" si="2"/>
        <v>TAK</v>
      </c>
      <c r="J115" s="69">
        <v>2.06277E-6</v>
      </c>
      <c r="K115" s="69">
        <v>-2.1838499999999999E-6</v>
      </c>
      <c r="L115" s="69">
        <v>2.8707199999999999E-10</v>
      </c>
      <c r="M115" s="67">
        <v>197</v>
      </c>
      <c r="N115" s="6" t="str">
        <f t="shared" si="3"/>
        <v>TAK</v>
      </c>
    </row>
    <row r="116" spans="1:14">
      <c r="A116" s="41"/>
      <c r="B116" s="1">
        <v>14</v>
      </c>
      <c r="C116" s="66">
        <v>0.94</v>
      </c>
      <c r="D116" s="66">
        <v>-0.39</v>
      </c>
      <c r="E116" s="66">
        <v>0.77513399999999999</v>
      </c>
      <c r="F116" s="70">
        <v>3.4607699999999999E-16</v>
      </c>
      <c r="G116" s="66">
        <v>0.62044600000000005</v>
      </c>
      <c r="H116" s="66">
        <v>222</v>
      </c>
      <c r="I116" s="68" t="str">
        <f t="shared" si="2"/>
        <v>NIE</v>
      </c>
      <c r="J116" s="66">
        <v>0.77508299999999997</v>
      </c>
      <c r="K116" s="70">
        <v>-1.2739100000000001E-6</v>
      </c>
      <c r="L116" s="66">
        <v>0.62044600000000005</v>
      </c>
      <c r="M116" s="66">
        <v>183</v>
      </c>
      <c r="N116" s="6" t="str">
        <f t="shared" si="3"/>
        <v>NIE</v>
      </c>
    </row>
    <row r="117" spans="1:14">
      <c r="A117" s="41"/>
      <c r="B117" s="1">
        <v>15</v>
      </c>
      <c r="C117" s="67">
        <v>0.14000000000000001</v>
      </c>
      <c r="D117" s="67">
        <v>0.64</v>
      </c>
      <c r="E117" s="69">
        <v>-2.1770800000000001E-16</v>
      </c>
      <c r="F117" s="67">
        <v>0.77513399999999999</v>
      </c>
      <c r="G117" s="67">
        <v>0.62044600000000005</v>
      </c>
      <c r="H117" s="67">
        <v>151</v>
      </c>
      <c r="I117" s="68" t="str">
        <f t="shared" si="2"/>
        <v>NIE</v>
      </c>
      <c r="J117" s="69">
        <v>4.6160400000000001E-7</v>
      </c>
      <c r="K117" s="67">
        <v>0.77508500000000002</v>
      </c>
      <c r="L117" s="67">
        <v>0.62044600000000005</v>
      </c>
      <c r="M117" s="67">
        <v>223</v>
      </c>
      <c r="N117" s="6" t="str">
        <f t="shared" si="3"/>
        <v>NIE</v>
      </c>
    </row>
    <row r="118" spans="1:14">
      <c r="A118" s="41"/>
      <c r="B118" s="1">
        <v>16</v>
      </c>
      <c r="C118" s="66">
        <v>-0.97</v>
      </c>
      <c r="D118" s="66">
        <v>-0.25</v>
      </c>
      <c r="E118" s="66">
        <v>-0.77513399999999999</v>
      </c>
      <c r="F118" s="70">
        <v>2.2464700000000001E-16</v>
      </c>
      <c r="G118" s="66">
        <v>0.62044600000000005</v>
      </c>
      <c r="H118" s="66">
        <v>181</v>
      </c>
      <c r="I118" s="68" t="str">
        <f t="shared" si="2"/>
        <v>NIE</v>
      </c>
      <c r="J118" s="66">
        <v>-0.77508600000000005</v>
      </c>
      <c r="K118" s="70">
        <v>6.9184400000000004E-7</v>
      </c>
      <c r="L118" s="66">
        <v>0.62044600000000005</v>
      </c>
      <c r="M118" s="66">
        <v>181</v>
      </c>
      <c r="N118" s="6" t="str">
        <f t="shared" si="3"/>
        <v>NIE</v>
      </c>
    </row>
    <row r="119" spans="1:14">
      <c r="A119" s="41"/>
      <c r="B119" s="1">
        <v>17</v>
      </c>
      <c r="C119" s="67">
        <v>-0.1</v>
      </c>
      <c r="D119" s="67">
        <v>-0.81</v>
      </c>
      <c r="E119" s="69">
        <v>1.14492E-16</v>
      </c>
      <c r="F119" s="67">
        <v>-0.77513399999999999</v>
      </c>
      <c r="G119" s="67">
        <v>0.62044600000000005</v>
      </c>
      <c r="H119" s="67">
        <v>150</v>
      </c>
      <c r="I119" s="68" t="str">
        <f t="shared" si="2"/>
        <v>NIE</v>
      </c>
      <c r="J119" s="69">
        <v>8.7010599999999993E-6</v>
      </c>
      <c r="K119" s="67">
        <v>-0.77510299999999999</v>
      </c>
      <c r="L119" s="67">
        <v>0.62044600000000005</v>
      </c>
      <c r="M119" s="67">
        <v>111</v>
      </c>
      <c r="N119" s="6" t="str">
        <f t="shared" si="3"/>
        <v>NIE</v>
      </c>
    </row>
    <row r="120" spans="1:14">
      <c r="A120" s="41"/>
      <c r="B120" s="1">
        <v>18</v>
      </c>
      <c r="C120" s="66">
        <v>-0.82</v>
      </c>
      <c r="D120" s="66">
        <v>0.31</v>
      </c>
      <c r="E120" s="66">
        <v>-0.77513399999999999</v>
      </c>
      <c r="F120" s="70">
        <v>-2.2551400000000001E-16</v>
      </c>
      <c r="G120" s="66">
        <v>0.62044600000000005</v>
      </c>
      <c r="H120" s="66">
        <v>215</v>
      </c>
      <c r="I120" s="68" t="str">
        <f t="shared" si="2"/>
        <v>NIE</v>
      </c>
      <c r="J120" s="66">
        <v>-0.775084</v>
      </c>
      <c r="K120" s="70">
        <v>2.8199699999999998E-7</v>
      </c>
      <c r="L120" s="66">
        <v>0.62044600000000005</v>
      </c>
      <c r="M120" s="66">
        <v>309</v>
      </c>
      <c r="N120" s="6" t="str">
        <f t="shared" si="3"/>
        <v>NIE</v>
      </c>
    </row>
    <row r="121" spans="1:14">
      <c r="A121" s="41"/>
      <c r="B121" s="1">
        <v>19</v>
      </c>
      <c r="C121" s="67">
        <v>0.34</v>
      </c>
      <c r="D121" s="67">
        <v>0.61</v>
      </c>
      <c r="E121" s="69">
        <v>-2.2204499999999999E-16</v>
      </c>
      <c r="F121" s="67">
        <v>0.77513399999999999</v>
      </c>
      <c r="G121" s="67">
        <v>0.62044600000000005</v>
      </c>
      <c r="H121" s="67">
        <v>269</v>
      </c>
      <c r="I121" s="68" t="str">
        <f t="shared" si="2"/>
        <v>NIE</v>
      </c>
      <c r="J121" s="69">
        <v>-1.07067E-7</v>
      </c>
      <c r="K121" s="67">
        <v>0.77508299999999997</v>
      </c>
      <c r="L121" s="67">
        <v>0.62044600000000005</v>
      </c>
      <c r="M121" s="67">
        <v>313</v>
      </c>
      <c r="N121" s="6" t="str">
        <f t="shared" si="3"/>
        <v>NIE</v>
      </c>
    </row>
    <row r="122" spans="1:14">
      <c r="A122" s="41"/>
      <c r="B122" s="1">
        <v>20</v>
      </c>
      <c r="C122" s="66">
        <v>0.04</v>
      </c>
      <c r="D122" s="66">
        <v>-0.98</v>
      </c>
      <c r="E122" s="70">
        <v>-1.73472E-18</v>
      </c>
      <c r="F122" s="66">
        <v>-0.77513399999999999</v>
      </c>
      <c r="G122" s="66">
        <v>0.62044600000000005</v>
      </c>
      <c r="H122" s="66">
        <v>160</v>
      </c>
      <c r="I122" s="68" t="str">
        <f t="shared" si="2"/>
        <v>NIE</v>
      </c>
      <c r="J122" s="70">
        <v>-1.0404499999999999E-6</v>
      </c>
      <c r="K122" s="66">
        <v>-0.77508500000000002</v>
      </c>
      <c r="L122" s="66">
        <v>0.62044600000000005</v>
      </c>
      <c r="M122" s="66">
        <v>181</v>
      </c>
      <c r="N122" s="6" t="str">
        <f t="shared" si="3"/>
        <v>NIE</v>
      </c>
    </row>
    <row r="123" spans="1:14">
      <c r="A123" s="41"/>
      <c r="B123" s="1">
        <v>21</v>
      </c>
      <c r="C123" s="67">
        <v>0.6</v>
      </c>
      <c r="D123" s="67">
        <v>0.22</v>
      </c>
      <c r="E123" s="67">
        <v>0.77513399999999999</v>
      </c>
      <c r="F123" s="69">
        <v>-2.19443E-16</v>
      </c>
      <c r="G123" s="67">
        <v>0.62044600000000005</v>
      </c>
      <c r="H123" s="67">
        <v>201</v>
      </c>
      <c r="I123" s="68" t="str">
        <f t="shared" si="2"/>
        <v>NIE</v>
      </c>
      <c r="J123" s="67">
        <v>0.775084</v>
      </c>
      <c r="K123" s="69">
        <v>1.2539299999999999E-7</v>
      </c>
      <c r="L123" s="67">
        <v>0.62044600000000005</v>
      </c>
      <c r="M123" s="67">
        <v>219</v>
      </c>
      <c r="N123" s="6" t="str">
        <f t="shared" si="3"/>
        <v>NIE</v>
      </c>
    </row>
    <row r="124" spans="1:14">
      <c r="A124" s="41"/>
      <c r="B124" s="1">
        <v>22</v>
      </c>
      <c r="C124" s="66">
        <v>-0.83</v>
      </c>
      <c r="D124" s="66">
        <v>0.96</v>
      </c>
      <c r="E124" s="66">
        <v>-0.77513399999999999</v>
      </c>
      <c r="F124" s="66">
        <v>0.77513399999999999</v>
      </c>
      <c r="G124" s="66">
        <v>1.24089</v>
      </c>
      <c r="H124" s="66">
        <v>197</v>
      </c>
      <c r="I124" s="68" t="str">
        <f t="shared" si="2"/>
        <v>NIE</v>
      </c>
      <c r="J124" s="66">
        <v>-0.775084</v>
      </c>
      <c r="K124" s="66">
        <v>0.775084</v>
      </c>
      <c r="L124" s="66">
        <v>1.24089</v>
      </c>
      <c r="M124" s="66">
        <v>219</v>
      </c>
      <c r="N124" s="6" t="str">
        <f t="shared" si="3"/>
        <v>NIE</v>
      </c>
    </row>
    <row r="125" spans="1:14">
      <c r="A125" s="41"/>
      <c r="B125" s="1">
        <v>23</v>
      </c>
      <c r="C125" s="67">
        <v>-0.91</v>
      </c>
      <c r="D125" s="67">
        <v>0.68</v>
      </c>
      <c r="E125" s="67">
        <v>-0.77513399999999999</v>
      </c>
      <c r="F125" s="67">
        <v>0.77513399999999999</v>
      </c>
      <c r="G125" s="67">
        <v>1.24089</v>
      </c>
      <c r="H125" s="67">
        <v>157</v>
      </c>
      <c r="I125" s="68" t="str">
        <f t="shared" si="2"/>
        <v>NIE</v>
      </c>
      <c r="J125" s="67">
        <v>-0.77507899999999996</v>
      </c>
      <c r="K125" s="67">
        <v>0.77503</v>
      </c>
      <c r="L125" s="67">
        <v>1.24089</v>
      </c>
      <c r="M125" s="67">
        <v>61</v>
      </c>
      <c r="N125" s="6" t="str">
        <f t="shared" si="3"/>
        <v>NIE</v>
      </c>
    </row>
    <row r="126" spans="1:14">
      <c r="A126" s="41"/>
      <c r="B126" s="1">
        <v>24</v>
      </c>
      <c r="C126" s="66">
        <v>0.17</v>
      </c>
      <c r="D126" s="66">
        <v>0.59</v>
      </c>
      <c r="E126" s="70">
        <v>-2.2204499999999999E-16</v>
      </c>
      <c r="F126" s="66">
        <v>0.77513399999999999</v>
      </c>
      <c r="G126" s="66">
        <v>0.62044600000000005</v>
      </c>
      <c r="H126" s="66">
        <v>166</v>
      </c>
      <c r="I126" s="68" t="str">
        <f t="shared" si="2"/>
        <v>NIE</v>
      </c>
      <c r="J126" s="70">
        <v>-2.0738700000000002E-6</v>
      </c>
      <c r="K126" s="66">
        <v>0.77508100000000002</v>
      </c>
      <c r="L126" s="66">
        <v>0.62044600000000005</v>
      </c>
      <c r="M126" s="66">
        <v>257</v>
      </c>
      <c r="N126" s="6" t="str">
        <f t="shared" si="3"/>
        <v>NIE</v>
      </c>
    </row>
    <row r="127" spans="1:14">
      <c r="A127" s="41"/>
      <c r="B127" s="1">
        <v>25</v>
      </c>
      <c r="C127" s="67">
        <v>0.91</v>
      </c>
      <c r="D127" s="67">
        <v>0.62</v>
      </c>
      <c r="E127" s="67">
        <v>0.77513399999999999</v>
      </c>
      <c r="F127" s="67">
        <v>0.77513399999999999</v>
      </c>
      <c r="G127" s="67">
        <v>1.24089</v>
      </c>
      <c r="H127" s="67">
        <v>159</v>
      </c>
      <c r="I127" s="68" t="str">
        <f t="shared" si="2"/>
        <v>NIE</v>
      </c>
      <c r="J127" s="67">
        <v>0.77508299999999997</v>
      </c>
      <c r="K127" s="67">
        <v>0.77508299999999997</v>
      </c>
      <c r="L127" s="67">
        <v>1.24089</v>
      </c>
      <c r="M127" s="67">
        <v>251</v>
      </c>
      <c r="N127" s="6" t="str">
        <f t="shared" si="3"/>
        <v>NIE</v>
      </c>
    </row>
    <row r="128" spans="1:14">
      <c r="A128" s="41"/>
      <c r="B128" s="1">
        <v>26</v>
      </c>
      <c r="C128" s="66">
        <v>-0.89</v>
      </c>
      <c r="D128" s="66">
        <v>0.11</v>
      </c>
      <c r="E128" s="66">
        <v>-0.77513399999999999</v>
      </c>
      <c r="F128" s="70">
        <v>-6.9388900000000004E-18</v>
      </c>
      <c r="G128" s="66">
        <v>0.62044600000000005</v>
      </c>
      <c r="H128" s="66">
        <v>156</v>
      </c>
      <c r="I128" s="68" t="str">
        <f t="shared" si="2"/>
        <v>NIE</v>
      </c>
      <c r="J128" s="66">
        <v>-0.77508299999999997</v>
      </c>
      <c r="K128" s="70">
        <v>-8.9634899999999996E-9</v>
      </c>
      <c r="L128" s="66">
        <v>0.62044600000000005</v>
      </c>
      <c r="M128" s="66">
        <v>243</v>
      </c>
      <c r="N128" s="6" t="str">
        <f t="shared" si="3"/>
        <v>NIE</v>
      </c>
    </row>
    <row r="129" spans="1:14">
      <c r="A129" s="41"/>
      <c r="B129" s="1">
        <v>27</v>
      </c>
      <c r="C129" s="67">
        <v>0.61</v>
      </c>
      <c r="D129" s="67">
        <v>0.18</v>
      </c>
      <c r="E129" s="67">
        <v>0.77513399999999999</v>
      </c>
      <c r="F129" s="69">
        <v>-2.1770800000000001E-16</v>
      </c>
      <c r="G129" s="67">
        <v>0.62044600000000005</v>
      </c>
      <c r="H129" s="67">
        <v>163</v>
      </c>
      <c r="I129" s="68" t="str">
        <f t="shared" si="2"/>
        <v>NIE</v>
      </c>
      <c r="J129" s="67">
        <v>0.775084</v>
      </c>
      <c r="K129" s="69">
        <v>3.6792900000000001E-7</v>
      </c>
      <c r="L129" s="67">
        <v>0.62044600000000005</v>
      </c>
      <c r="M129" s="67">
        <v>247</v>
      </c>
      <c r="N129" s="6" t="str">
        <f t="shared" si="3"/>
        <v>NIE</v>
      </c>
    </row>
    <row r="130" spans="1:14">
      <c r="A130" s="41"/>
      <c r="B130" s="1">
        <v>28</v>
      </c>
      <c r="C130" s="66">
        <v>0.83</v>
      </c>
      <c r="D130" s="66">
        <v>-0.02</v>
      </c>
      <c r="E130" s="66">
        <v>0.77513399999999999</v>
      </c>
      <c r="F130" s="70">
        <v>5.2041699999999996E-18</v>
      </c>
      <c r="G130" s="66">
        <v>0.62044600000000005</v>
      </c>
      <c r="H130" s="66">
        <v>137</v>
      </c>
      <c r="I130" s="68" t="str">
        <f t="shared" si="2"/>
        <v>NIE</v>
      </c>
      <c r="J130" s="66">
        <v>0.775084</v>
      </c>
      <c r="K130" s="70">
        <v>-1.0190300000000001E-6</v>
      </c>
      <c r="L130" s="66">
        <v>0.62044600000000005</v>
      </c>
      <c r="M130" s="66">
        <v>163</v>
      </c>
      <c r="N130" s="6" t="str">
        <f t="shared" si="3"/>
        <v>NIE</v>
      </c>
    </row>
    <row r="131" spans="1:14">
      <c r="A131" s="41"/>
      <c r="B131" s="1">
        <v>29</v>
      </c>
      <c r="C131" s="67">
        <v>0.31</v>
      </c>
      <c r="D131" s="67">
        <v>0.78</v>
      </c>
      <c r="E131" s="69">
        <v>-2.1683999999999999E-16</v>
      </c>
      <c r="F131" s="67">
        <v>0.77513399999999999</v>
      </c>
      <c r="G131" s="67">
        <v>0.62044600000000005</v>
      </c>
      <c r="H131" s="67">
        <v>209</v>
      </c>
      <c r="I131" s="68" t="str">
        <f t="shared" si="2"/>
        <v>NIE</v>
      </c>
      <c r="J131" s="69">
        <v>1.5634999999999999E-6</v>
      </c>
      <c r="K131" s="67">
        <v>0.77508500000000002</v>
      </c>
      <c r="L131" s="67">
        <v>0.62044600000000005</v>
      </c>
      <c r="M131" s="67">
        <v>203</v>
      </c>
      <c r="N131" s="6" t="str">
        <f t="shared" si="3"/>
        <v>NIE</v>
      </c>
    </row>
    <row r="132" spans="1:14">
      <c r="A132" s="41"/>
      <c r="B132" s="1">
        <v>30</v>
      </c>
      <c r="C132" s="66">
        <v>0.12</v>
      </c>
      <c r="D132" s="66">
        <v>0.97</v>
      </c>
      <c r="E132" s="70">
        <v>-3.4694499999999997E-18</v>
      </c>
      <c r="F132" s="66">
        <v>0.77513399999999999</v>
      </c>
      <c r="G132" s="66">
        <v>0.62044600000000005</v>
      </c>
      <c r="H132" s="66">
        <v>213</v>
      </c>
      <c r="I132" s="68" t="str">
        <f t="shared" ref="I132:I195" si="4">IF(AND(E132&gt;-0.1,E132&lt;0.1,F132&gt;-0.1,F132&lt;0.1),"TAK","NIE")</f>
        <v>NIE</v>
      </c>
      <c r="J132" s="70">
        <v>1.1768099999999999E-7</v>
      </c>
      <c r="K132" s="66">
        <v>0.77508299999999997</v>
      </c>
      <c r="L132" s="66">
        <v>0.62044600000000005</v>
      </c>
      <c r="M132" s="66">
        <v>257</v>
      </c>
      <c r="N132" s="6" t="str">
        <f t="shared" ref="N132:N195" si="5">IF(AND(J132&gt;-0.1,J132&lt;0.1,K132&gt;-0.1,K132&lt;0.1),"TAK","NIE")</f>
        <v>NIE</v>
      </c>
    </row>
    <row r="133" spans="1:14">
      <c r="A133" s="41"/>
      <c r="B133" s="1">
        <v>31</v>
      </c>
      <c r="C133" s="67">
        <v>0.42</v>
      </c>
      <c r="D133" s="67">
        <v>0.15</v>
      </c>
      <c r="E133" s="67">
        <v>0.77513399999999999</v>
      </c>
      <c r="F133" s="69">
        <v>-2.2898299999999998E-16</v>
      </c>
      <c r="G133" s="67">
        <v>0.62044600000000005</v>
      </c>
      <c r="H133" s="67">
        <v>247</v>
      </c>
      <c r="I133" s="68" t="str">
        <f t="shared" si="4"/>
        <v>NIE</v>
      </c>
      <c r="J133" s="67">
        <v>0.77508299999999997</v>
      </c>
      <c r="K133" s="69">
        <v>6.4970799999999996E-8</v>
      </c>
      <c r="L133" s="67">
        <v>0.62044600000000005</v>
      </c>
      <c r="M133" s="67">
        <v>231</v>
      </c>
      <c r="N133" s="6" t="str">
        <f t="shared" si="5"/>
        <v>NIE</v>
      </c>
    </row>
    <row r="134" spans="1:14">
      <c r="A134" s="41"/>
      <c r="B134" s="1">
        <v>32</v>
      </c>
      <c r="C134" s="66">
        <v>-0.27</v>
      </c>
      <c r="D134" s="66">
        <v>-0.68</v>
      </c>
      <c r="E134" s="70">
        <v>2.3592199999999998E-16</v>
      </c>
      <c r="F134" s="66">
        <v>-0.77513399999999999</v>
      </c>
      <c r="G134" s="66">
        <v>0.62044600000000005</v>
      </c>
      <c r="H134" s="66">
        <v>218</v>
      </c>
      <c r="I134" s="68" t="str">
        <f t="shared" si="4"/>
        <v>NIE</v>
      </c>
      <c r="J134" s="70">
        <v>-1.9057000000000002E-9</v>
      </c>
      <c r="K134" s="66">
        <v>-0.77508299999999997</v>
      </c>
      <c r="L134" s="66">
        <v>0.62044600000000005</v>
      </c>
      <c r="M134" s="66">
        <v>235</v>
      </c>
      <c r="N134" s="6" t="str">
        <f t="shared" si="5"/>
        <v>NIE</v>
      </c>
    </row>
    <row r="135" spans="1:14">
      <c r="A135" s="41"/>
      <c r="B135" s="1">
        <v>33</v>
      </c>
      <c r="C135" s="67">
        <v>-0.14000000000000001</v>
      </c>
      <c r="D135" s="67">
        <v>-0.09</v>
      </c>
      <c r="E135" s="69">
        <v>1.09288E-16</v>
      </c>
      <c r="F135" s="69">
        <v>1.13624E-16</v>
      </c>
      <c r="G135" s="67">
        <v>0</v>
      </c>
      <c r="H135" s="67">
        <v>136</v>
      </c>
      <c r="I135" s="68" t="str">
        <f t="shared" si="4"/>
        <v>TAK</v>
      </c>
      <c r="J135" s="69">
        <v>1.50248E-8</v>
      </c>
      <c r="K135" s="69">
        <v>6.5202799999999994E-8</v>
      </c>
      <c r="L135" s="69">
        <v>1.42553E-13</v>
      </c>
      <c r="M135" s="67">
        <v>227</v>
      </c>
      <c r="N135" s="6" t="str">
        <f t="shared" si="5"/>
        <v>TAK</v>
      </c>
    </row>
    <row r="136" spans="1:14">
      <c r="A136" s="41"/>
      <c r="B136" s="1">
        <v>34</v>
      </c>
      <c r="C136" s="66">
        <v>0.63</v>
      </c>
      <c r="D136" s="66">
        <v>0.72</v>
      </c>
      <c r="E136" s="66">
        <v>0.77513399999999999</v>
      </c>
      <c r="F136" s="66">
        <v>0.77513399999999999</v>
      </c>
      <c r="G136" s="66">
        <v>1.24089</v>
      </c>
      <c r="H136" s="66">
        <v>176</v>
      </c>
      <c r="I136" s="68" t="str">
        <f t="shared" si="4"/>
        <v>NIE</v>
      </c>
      <c r="J136" s="66">
        <v>0.77508299999999997</v>
      </c>
      <c r="K136" s="66">
        <v>0.77508299999999997</v>
      </c>
      <c r="L136" s="66">
        <v>1.24089</v>
      </c>
      <c r="M136" s="66">
        <v>161</v>
      </c>
      <c r="N136" s="6" t="str">
        <f t="shared" si="5"/>
        <v>NIE</v>
      </c>
    </row>
    <row r="137" spans="1:14">
      <c r="A137" s="41"/>
      <c r="B137" s="1">
        <v>35</v>
      </c>
      <c r="C137" s="67">
        <v>-0.96</v>
      </c>
      <c r="D137" s="67">
        <v>-0.81</v>
      </c>
      <c r="E137" s="67">
        <v>-0.77513399999999999</v>
      </c>
      <c r="F137" s="67">
        <v>-0.77513399999999999</v>
      </c>
      <c r="G137" s="67">
        <v>1.24089</v>
      </c>
      <c r="H137" s="67">
        <v>167</v>
      </c>
      <c r="I137" s="68" t="str">
        <f t="shared" si="4"/>
        <v>NIE</v>
      </c>
      <c r="J137" s="67">
        <v>-0.77508299999999997</v>
      </c>
      <c r="K137" s="67">
        <v>-0.77508299999999997</v>
      </c>
      <c r="L137" s="67">
        <v>1.24089</v>
      </c>
      <c r="M137" s="67">
        <v>147</v>
      </c>
      <c r="N137" s="6" t="str">
        <f t="shared" si="5"/>
        <v>NIE</v>
      </c>
    </row>
    <row r="138" spans="1:14">
      <c r="A138" s="41"/>
      <c r="B138" s="1">
        <v>36</v>
      </c>
      <c r="C138" s="66">
        <v>0.75</v>
      </c>
      <c r="D138" s="66">
        <v>0.65</v>
      </c>
      <c r="E138" s="66">
        <v>0.77513399999999999</v>
      </c>
      <c r="F138" s="66">
        <v>0.77513399999999999</v>
      </c>
      <c r="G138" s="66">
        <v>1.24089</v>
      </c>
      <c r="H138" s="66">
        <v>139</v>
      </c>
      <c r="I138" s="68" t="str">
        <f t="shared" si="4"/>
        <v>NIE</v>
      </c>
      <c r="J138" s="66">
        <v>0.77508500000000002</v>
      </c>
      <c r="K138" s="66">
        <v>0.77508299999999997</v>
      </c>
      <c r="L138" s="66">
        <v>1.24089</v>
      </c>
      <c r="M138" s="66">
        <v>115</v>
      </c>
      <c r="N138" s="6" t="str">
        <f t="shared" si="5"/>
        <v>NIE</v>
      </c>
    </row>
    <row r="139" spans="1:14">
      <c r="A139" s="41"/>
      <c r="B139" s="1">
        <v>37</v>
      </c>
      <c r="C139" s="67">
        <v>-0.06</v>
      </c>
      <c r="D139" s="67">
        <v>0.44</v>
      </c>
      <c r="E139" s="69">
        <v>8.6736199999999997E-19</v>
      </c>
      <c r="F139" s="67">
        <v>0.77513399999999999</v>
      </c>
      <c r="G139" s="67">
        <v>0.62044600000000005</v>
      </c>
      <c r="H139" s="67">
        <v>208</v>
      </c>
      <c r="I139" s="68" t="str">
        <f t="shared" si="4"/>
        <v>NIE</v>
      </c>
      <c r="J139" s="69">
        <v>-2.3690700000000001E-8</v>
      </c>
      <c r="K139" s="67">
        <v>0.77508299999999997</v>
      </c>
      <c r="L139" s="67">
        <v>0.62044600000000005</v>
      </c>
      <c r="M139" s="67">
        <v>153</v>
      </c>
      <c r="N139" s="6" t="str">
        <f t="shared" si="5"/>
        <v>NIE</v>
      </c>
    </row>
    <row r="140" spans="1:14">
      <c r="A140" s="41"/>
      <c r="B140" s="1">
        <v>38</v>
      </c>
      <c r="C140" s="66">
        <v>0.61</v>
      </c>
      <c r="D140" s="66">
        <v>0.03</v>
      </c>
      <c r="E140" s="66">
        <v>0.77513399999999999</v>
      </c>
      <c r="F140" s="70">
        <v>-4.3368099999999997E-18</v>
      </c>
      <c r="G140" s="66">
        <v>0.62044600000000005</v>
      </c>
      <c r="H140" s="66">
        <v>150</v>
      </c>
      <c r="I140" s="68" t="str">
        <f t="shared" si="4"/>
        <v>NIE</v>
      </c>
      <c r="J140" s="66">
        <v>0.77507999999999999</v>
      </c>
      <c r="K140" s="70">
        <v>2.5397699999999998E-6</v>
      </c>
      <c r="L140" s="66">
        <v>0.62044600000000005</v>
      </c>
      <c r="M140" s="66">
        <v>97</v>
      </c>
      <c r="N140" s="6" t="str">
        <f t="shared" si="5"/>
        <v>NIE</v>
      </c>
    </row>
    <row r="141" spans="1:14">
      <c r="A141" s="41"/>
      <c r="B141" s="1">
        <v>39</v>
      </c>
      <c r="C141" s="67">
        <v>-0.36</v>
      </c>
      <c r="D141" s="67">
        <v>-0.7</v>
      </c>
      <c r="E141" s="69">
        <v>3.3133199999999999E-16</v>
      </c>
      <c r="F141" s="67">
        <v>-0.77513399999999999</v>
      </c>
      <c r="G141" s="67">
        <v>0.62044600000000005</v>
      </c>
      <c r="H141" s="67">
        <v>215</v>
      </c>
      <c r="I141" s="68" t="str">
        <f t="shared" si="4"/>
        <v>NIE</v>
      </c>
      <c r="J141" s="69">
        <v>4.6122499999999998E-7</v>
      </c>
      <c r="K141" s="67">
        <v>-0.77508299999999997</v>
      </c>
      <c r="L141" s="67">
        <v>0.62044600000000005</v>
      </c>
      <c r="M141" s="67">
        <v>167</v>
      </c>
      <c r="N141" s="6" t="str">
        <f t="shared" si="5"/>
        <v>NIE</v>
      </c>
    </row>
    <row r="142" spans="1:14">
      <c r="A142" s="41"/>
      <c r="B142" s="1">
        <v>40</v>
      </c>
      <c r="C142" s="66">
        <v>-0.38</v>
      </c>
      <c r="D142" s="66">
        <v>-0.45</v>
      </c>
      <c r="E142" s="70">
        <v>3.3133199999999999E-16</v>
      </c>
      <c r="F142" s="66">
        <v>-0.77513399999999999</v>
      </c>
      <c r="G142" s="66">
        <v>0.62044600000000005</v>
      </c>
      <c r="H142" s="66">
        <v>210</v>
      </c>
      <c r="I142" s="68" t="str">
        <f t="shared" si="4"/>
        <v>NIE</v>
      </c>
      <c r="J142" s="70">
        <v>-4.0260600000000001E-9</v>
      </c>
      <c r="K142" s="66">
        <v>-0.775084</v>
      </c>
      <c r="L142" s="66">
        <v>0.62044600000000005</v>
      </c>
      <c r="M142" s="66">
        <v>181</v>
      </c>
      <c r="N142" s="6" t="str">
        <f t="shared" si="5"/>
        <v>NIE</v>
      </c>
    </row>
    <row r="143" spans="1:14">
      <c r="A143" s="41"/>
      <c r="B143" s="1">
        <v>41</v>
      </c>
      <c r="C143" s="67">
        <v>0.92</v>
      </c>
      <c r="D143" s="67">
        <v>-0.74</v>
      </c>
      <c r="E143" s="67">
        <v>0.77513399999999999</v>
      </c>
      <c r="F143" s="67">
        <v>-0.77513399999999999</v>
      </c>
      <c r="G143" s="67">
        <v>1.24089</v>
      </c>
      <c r="H143" s="67">
        <v>181</v>
      </c>
      <c r="I143" s="68" t="str">
        <f t="shared" si="4"/>
        <v>NIE</v>
      </c>
      <c r="J143" s="67">
        <v>0.77508299999999997</v>
      </c>
      <c r="K143" s="67">
        <v>-0.77508299999999997</v>
      </c>
      <c r="L143" s="67">
        <v>1.24089</v>
      </c>
      <c r="M143" s="67">
        <v>193</v>
      </c>
      <c r="N143" s="6" t="str">
        <f t="shared" si="5"/>
        <v>NIE</v>
      </c>
    </row>
    <row r="144" spans="1:14">
      <c r="A144" s="41"/>
      <c r="B144" s="1">
        <v>42</v>
      </c>
      <c r="C144" s="66">
        <v>0.66</v>
      </c>
      <c r="D144" s="66">
        <v>0.54</v>
      </c>
      <c r="E144" s="66">
        <v>0.77513399999999999</v>
      </c>
      <c r="F144" s="66">
        <v>0.77513399999999999</v>
      </c>
      <c r="G144" s="66">
        <v>1.24089</v>
      </c>
      <c r="H144" s="66">
        <v>204</v>
      </c>
      <c r="I144" s="68" t="str">
        <f t="shared" si="4"/>
        <v>NIE</v>
      </c>
      <c r="J144" s="66">
        <v>0.775084</v>
      </c>
      <c r="K144" s="66">
        <v>0.77508299999999997</v>
      </c>
      <c r="L144" s="66">
        <v>1.24089</v>
      </c>
      <c r="M144" s="66">
        <v>245</v>
      </c>
      <c r="N144" s="6" t="str">
        <f t="shared" si="5"/>
        <v>NIE</v>
      </c>
    </row>
    <row r="145" spans="1:14">
      <c r="A145" s="41"/>
      <c r="B145" s="1">
        <v>43</v>
      </c>
      <c r="C145" s="67">
        <v>0.44</v>
      </c>
      <c r="D145" s="67">
        <v>0.5</v>
      </c>
      <c r="E145" s="67">
        <v>0.77513399999999999</v>
      </c>
      <c r="F145" s="67">
        <v>0.77513399999999999</v>
      </c>
      <c r="G145" s="67">
        <v>1.24089</v>
      </c>
      <c r="H145" s="67">
        <v>196</v>
      </c>
      <c r="I145" s="68" t="str">
        <f t="shared" si="4"/>
        <v>NIE</v>
      </c>
      <c r="J145" s="67">
        <v>0.77508299999999997</v>
      </c>
      <c r="K145" s="67">
        <v>0.77508299999999997</v>
      </c>
      <c r="L145" s="67">
        <v>1.24089</v>
      </c>
      <c r="M145" s="67">
        <v>195</v>
      </c>
      <c r="N145" s="6" t="str">
        <f t="shared" si="5"/>
        <v>NIE</v>
      </c>
    </row>
    <row r="146" spans="1:14">
      <c r="A146" s="41"/>
      <c r="B146" s="1">
        <v>44</v>
      </c>
      <c r="C146" s="66">
        <v>-0.96</v>
      </c>
      <c r="D146" s="66">
        <v>-0.25</v>
      </c>
      <c r="E146" s="66">
        <v>-0.77513399999999999</v>
      </c>
      <c r="F146" s="70">
        <v>2.2811599999999998E-16</v>
      </c>
      <c r="G146" s="66">
        <v>0.62044600000000005</v>
      </c>
      <c r="H146" s="66">
        <v>192</v>
      </c>
      <c r="I146" s="68" t="str">
        <f t="shared" si="4"/>
        <v>NIE</v>
      </c>
      <c r="J146" s="66">
        <v>-0.77508100000000002</v>
      </c>
      <c r="K146" s="70">
        <v>3.5215099999999999E-6</v>
      </c>
      <c r="L146" s="66">
        <v>0.62044600000000005</v>
      </c>
      <c r="M146" s="66">
        <v>155</v>
      </c>
      <c r="N146" s="6" t="str">
        <f t="shared" si="5"/>
        <v>NIE</v>
      </c>
    </row>
    <row r="147" spans="1:14">
      <c r="A147" s="41"/>
      <c r="B147" s="1">
        <v>45</v>
      </c>
      <c r="C147" s="67">
        <v>0.28000000000000003</v>
      </c>
      <c r="D147" s="67">
        <v>0.16</v>
      </c>
      <c r="E147" s="69">
        <v>-2.30718E-16</v>
      </c>
      <c r="F147" s="69">
        <v>-2.2031E-16</v>
      </c>
      <c r="G147" s="67">
        <v>0</v>
      </c>
      <c r="H147" s="67">
        <v>234</v>
      </c>
      <c r="I147" s="68" t="str">
        <f t="shared" si="4"/>
        <v>TAK</v>
      </c>
      <c r="J147" s="69">
        <v>-9.3148000000000001E-9</v>
      </c>
      <c r="K147" s="69">
        <v>2.4180100000000001E-8</v>
      </c>
      <c r="L147" s="69">
        <v>2.1316300000000001E-14</v>
      </c>
      <c r="M147" s="67">
        <v>245</v>
      </c>
      <c r="N147" s="6" t="str">
        <f t="shared" si="5"/>
        <v>TAK</v>
      </c>
    </row>
    <row r="148" spans="1:14">
      <c r="A148" s="41"/>
      <c r="B148" s="1">
        <v>46</v>
      </c>
      <c r="C148" s="66">
        <v>-0.27</v>
      </c>
      <c r="D148" s="66">
        <v>-0.78</v>
      </c>
      <c r="E148" s="70">
        <v>2.2638100000000001E-16</v>
      </c>
      <c r="F148" s="66">
        <v>-0.77513399999999999</v>
      </c>
      <c r="G148" s="66">
        <v>0.62044600000000005</v>
      </c>
      <c r="H148" s="66">
        <v>177</v>
      </c>
      <c r="I148" s="68" t="str">
        <f t="shared" si="4"/>
        <v>NIE</v>
      </c>
      <c r="J148" s="70">
        <v>-3.2128399999999998E-7</v>
      </c>
      <c r="K148" s="66">
        <v>-0.77508500000000002</v>
      </c>
      <c r="L148" s="66">
        <v>0.62044600000000005</v>
      </c>
      <c r="M148" s="66">
        <v>151</v>
      </c>
      <c r="N148" s="6" t="str">
        <f t="shared" si="5"/>
        <v>NIE</v>
      </c>
    </row>
    <row r="149" spans="1:14">
      <c r="A149" s="41"/>
      <c r="B149" s="1">
        <v>47</v>
      </c>
      <c r="C149" s="67">
        <v>0.83</v>
      </c>
      <c r="D149" s="67">
        <v>0.46</v>
      </c>
      <c r="E149" s="67">
        <v>0.77513399999999999</v>
      </c>
      <c r="F149" s="67">
        <v>0.77513399999999999</v>
      </c>
      <c r="G149" s="67">
        <v>1.24089</v>
      </c>
      <c r="H149" s="67">
        <v>196</v>
      </c>
      <c r="I149" s="68" t="str">
        <f t="shared" si="4"/>
        <v>NIE</v>
      </c>
      <c r="J149" s="67">
        <v>0.77508299999999997</v>
      </c>
      <c r="K149" s="67">
        <v>0.77508699999999997</v>
      </c>
      <c r="L149" s="67">
        <v>1.24089</v>
      </c>
      <c r="M149" s="67">
        <v>181</v>
      </c>
      <c r="N149" s="6" t="str">
        <f t="shared" si="5"/>
        <v>NIE</v>
      </c>
    </row>
    <row r="150" spans="1:14">
      <c r="A150" s="41"/>
      <c r="B150" s="1">
        <v>48</v>
      </c>
      <c r="C150" s="66">
        <v>-0.46</v>
      </c>
      <c r="D150" s="66">
        <v>-0.79</v>
      </c>
      <c r="E150" s="66">
        <v>-0.77513399999999999</v>
      </c>
      <c r="F150" s="66">
        <v>-0.77513399999999999</v>
      </c>
      <c r="G150" s="66">
        <v>1.24089</v>
      </c>
      <c r="H150" s="66">
        <v>200</v>
      </c>
      <c r="I150" s="68" t="str">
        <f t="shared" si="4"/>
        <v>NIE</v>
      </c>
      <c r="J150" s="66">
        <v>-0.77508100000000002</v>
      </c>
      <c r="K150" s="66">
        <v>-0.77508299999999997</v>
      </c>
      <c r="L150" s="66">
        <v>1.24089</v>
      </c>
      <c r="M150" s="66">
        <v>227</v>
      </c>
      <c r="N150" s="6" t="str">
        <f t="shared" si="5"/>
        <v>NIE</v>
      </c>
    </row>
    <row r="151" spans="1:14">
      <c r="A151" s="41"/>
      <c r="B151" s="1">
        <v>49</v>
      </c>
      <c r="C151" s="67">
        <v>0.89</v>
      </c>
      <c r="D151" s="67">
        <v>0.69</v>
      </c>
      <c r="E151" s="67">
        <v>0.77513399999999999</v>
      </c>
      <c r="F151" s="67">
        <v>0.77513399999999999</v>
      </c>
      <c r="G151" s="67">
        <v>1.24089</v>
      </c>
      <c r="H151" s="67">
        <v>165</v>
      </c>
      <c r="I151" s="68" t="str">
        <f t="shared" si="4"/>
        <v>NIE</v>
      </c>
      <c r="J151" s="67">
        <v>0.77508299999999997</v>
      </c>
      <c r="K151" s="67">
        <v>0.775084</v>
      </c>
      <c r="L151" s="67">
        <v>1.24089</v>
      </c>
      <c r="M151" s="67">
        <v>217</v>
      </c>
      <c r="N151" s="6" t="str">
        <f t="shared" si="5"/>
        <v>NIE</v>
      </c>
    </row>
    <row r="152" spans="1:14">
      <c r="A152" s="41"/>
      <c r="B152" s="1">
        <v>50</v>
      </c>
      <c r="C152" s="66">
        <v>0.94</v>
      </c>
      <c r="D152" s="66">
        <v>0.94</v>
      </c>
      <c r="E152" s="66">
        <v>0.77513399999999999</v>
      </c>
      <c r="F152" s="66">
        <v>0.77513399999999999</v>
      </c>
      <c r="G152" s="66">
        <v>1.24089</v>
      </c>
      <c r="H152" s="66">
        <v>170</v>
      </c>
      <c r="I152" s="68" t="str">
        <f t="shared" si="4"/>
        <v>NIE</v>
      </c>
      <c r="J152" s="66">
        <v>0.77510900000000005</v>
      </c>
      <c r="K152" s="66">
        <v>0.77510900000000005</v>
      </c>
      <c r="L152" s="66">
        <v>1.24089</v>
      </c>
      <c r="M152" s="66">
        <v>49</v>
      </c>
      <c r="N152" s="6" t="str">
        <f t="shared" si="5"/>
        <v>NIE</v>
      </c>
    </row>
    <row r="153" spans="1:14">
      <c r="A153" s="41"/>
      <c r="B153" s="1">
        <v>51</v>
      </c>
      <c r="C153" s="67">
        <v>0.41</v>
      </c>
      <c r="D153" s="67">
        <v>0.21</v>
      </c>
      <c r="E153" s="69">
        <v>-4.4582399999999998E-16</v>
      </c>
      <c r="F153" s="69">
        <v>-2.2898299999999998E-16</v>
      </c>
      <c r="G153" s="67">
        <v>0</v>
      </c>
      <c r="H153" s="67">
        <v>272</v>
      </c>
      <c r="I153" s="68" t="str">
        <f t="shared" si="4"/>
        <v>TAK</v>
      </c>
      <c r="J153" s="69">
        <v>-1.2221300000000001E-6</v>
      </c>
      <c r="K153" s="69">
        <v>-4.63211E-7</v>
      </c>
      <c r="L153" s="69">
        <v>5.4339000000000001E-11</v>
      </c>
      <c r="M153" s="67">
        <v>197</v>
      </c>
      <c r="N153" s="6" t="str">
        <f t="shared" si="5"/>
        <v>TAK</v>
      </c>
    </row>
    <row r="154" spans="1:14">
      <c r="A154" s="41"/>
      <c r="B154" s="1">
        <v>52</v>
      </c>
      <c r="C154" s="66">
        <v>0.59</v>
      </c>
      <c r="D154" s="66">
        <v>-0.65</v>
      </c>
      <c r="E154" s="66">
        <v>0.77513399999999999</v>
      </c>
      <c r="F154" s="66">
        <v>-0.77513399999999999</v>
      </c>
      <c r="G154" s="66">
        <v>1.24089</v>
      </c>
      <c r="H154" s="66">
        <v>189</v>
      </c>
      <c r="I154" s="68" t="str">
        <f t="shared" si="4"/>
        <v>NIE</v>
      </c>
      <c r="J154" s="66">
        <v>0.77508299999999997</v>
      </c>
      <c r="K154" s="66">
        <v>-0.77508299999999997</v>
      </c>
      <c r="L154" s="66">
        <v>1.24089</v>
      </c>
      <c r="M154" s="66">
        <v>281</v>
      </c>
      <c r="N154" s="6" t="str">
        <f t="shared" si="5"/>
        <v>NIE</v>
      </c>
    </row>
    <row r="155" spans="1:14">
      <c r="A155" s="41"/>
      <c r="B155" s="1">
        <v>53</v>
      </c>
      <c r="C155" s="67">
        <v>-0.35</v>
      </c>
      <c r="D155" s="67">
        <v>-0.28000000000000003</v>
      </c>
      <c r="E155" s="69">
        <v>3.3740399999999999E-16</v>
      </c>
      <c r="F155" s="69">
        <v>2.2551400000000001E-16</v>
      </c>
      <c r="G155" s="67">
        <v>0</v>
      </c>
      <c r="H155" s="67">
        <v>201</v>
      </c>
      <c r="I155" s="68" t="str">
        <f t="shared" si="4"/>
        <v>TAK</v>
      </c>
      <c r="J155" s="69">
        <v>-1.11082E-8</v>
      </c>
      <c r="K155" s="69">
        <v>-1.7324500000000001E-8</v>
      </c>
      <c r="L155" s="69">
        <v>1.33227E-14</v>
      </c>
      <c r="M155" s="67">
        <v>217</v>
      </c>
      <c r="N155" s="6" t="str">
        <f t="shared" si="5"/>
        <v>TAK</v>
      </c>
    </row>
    <row r="156" spans="1:14">
      <c r="A156" s="41"/>
      <c r="B156" s="1">
        <v>54</v>
      </c>
      <c r="C156" s="66">
        <v>0.38</v>
      </c>
      <c r="D156" s="66">
        <v>0.28999999999999998</v>
      </c>
      <c r="E156" s="70">
        <v>-4.49293E-16</v>
      </c>
      <c r="F156" s="70">
        <v>-2.2638100000000001E-16</v>
      </c>
      <c r="G156" s="66">
        <v>0</v>
      </c>
      <c r="H156" s="66">
        <v>243</v>
      </c>
      <c r="I156" s="68" t="str">
        <f t="shared" si="4"/>
        <v>TAK</v>
      </c>
      <c r="J156" s="70">
        <v>-3.54555E-9</v>
      </c>
      <c r="K156" s="70">
        <v>6.7963699999999998E-9</v>
      </c>
      <c r="L156" s="70">
        <v>1.7763599999999999E-15</v>
      </c>
      <c r="M156" s="66">
        <v>221</v>
      </c>
      <c r="N156" s="6" t="str">
        <f t="shared" si="5"/>
        <v>TAK</v>
      </c>
    </row>
    <row r="157" spans="1:14">
      <c r="A157" s="41"/>
      <c r="B157" s="1">
        <v>55</v>
      </c>
      <c r="C157" s="67">
        <v>0.02</v>
      </c>
      <c r="D157" s="67">
        <v>-0.99</v>
      </c>
      <c r="E157" s="69">
        <v>-8.6736199999999997E-19</v>
      </c>
      <c r="F157" s="67">
        <v>-0.77513399999999999</v>
      </c>
      <c r="G157" s="67">
        <v>0.62044600000000005</v>
      </c>
      <c r="H157" s="67">
        <v>157</v>
      </c>
      <c r="I157" s="68" t="str">
        <f t="shared" si="4"/>
        <v>NIE</v>
      </c>
      <c r="J157" s="69">
        <v>-7.2203599999999997E-7</v>
      </c>
      <c r="K157" s="67">
        <v>-0.77508600000000005</v>
      </c>
      <c r="L157" s="67">
        <v>0.62044600000000005</v>
      </c>
      <c r="M157" s="67">
        <v>181</v>
      </c>
      <c r="N157" s="6" t="str">
        <f t="shared" si="5"/>
        <v>NIE</v>
      </c>
    </row>
    <row r="158" spans="1:14">
      <c r="A158" s="41"/>
      <c r="B158" s="1">
        <v>56</v>
      </c>
      <c r="C158" s="66">
        <v>0.84</v>
      </c>
      <c r="D158" s="66">
        <v>-0.06</v>
      </c>
      <c r="E158" s="66">
        <v>0.77513399999999999</v>
      </c>
      <c r="F158" s="70">
        <v>2.6020900000000001E-18</v>
      </c>
      <c r="G158" s="66">
        <v>0.62044600000000005</v>
      </c>
      <c r="H158" s="66">
        <v>131</v>
      </c>
      <c r="I158" s="68" t="str">
        <f t="shared" si="4"/>
        <v>NIE</v>
      </c>
      <c r="J158" s="66">
        <v>0.77508299999999997</v>
      </c>
      <c r="K158" s="70">
        <v>-1.26171E-9</v>
      </c>
      <c r="L158" s="66">
        <v>0.62044600000000005</v>
      </c>
      <c r="M158" s="66">
        <v>253</v>
      </c>
      <c r="N158" s="6" t="str">
        <f t="shared" si="5"/>
        <v>NIE</v>
      </c>
    </row>
    <row r="159" spans="1:14">
      <c r="A159" s="41"/>
      <c r="B159" s="1">
        <v>57</v>
      </c>
      <c r="C159" s="67">
        <v>0.79</v>
      </c>
      <c r="D159" s="67">
        <v>0.02</v>
      </c>
      <c r="E159" s="67">
        <v>0.77513399999999999</v>
      </c>
      <c r="F159" s="69">
        <v>1.73472E-18</v>
      </c>
      <c r="G159" s="67">
        <v>0.62044600000000005</v>
      </c>
      <c r="H159" s="67">
        <v>114</v>
      </c>
      <c r="I159" s="68" t="str">
        <f t="shared" si="4"/>
        <v>NIE</v>
      </c>
      <c r="J159" s="67">
        <v>0.77510100000000004</v>
      </c>
      <c r="K159" s="69">
        <v>-1.4232900000000001E-5</v>
      </c>
      <c r="L159" s="67">
        <v>0.62044600000000005</v>
      </c>
      <c r="M159" s="67">
        <v>69</v>
      </c>
      <c r="N159" s="6" t="str">
        <f t="shared" si="5"/>
        <v>NIE</v>
      </c>
    </row>
    <row r="160" spans="1:14">
      <c r="A160" s="41"/>
      <c r="B160" s="1">
        <v>58</v>
      </c>
      <c r="C160" s="66">
        <v>-1</v>
      </c>
      <c r="D160" s="66">
        <v>0.23</v>
      </c>
      <c r="E160" s="66">
        <v>-0.77513399999999999</v>
      </c>
      <c r="F160" s="70">
        <v>-2.2204499999999999E-16</v>
      </c>
      <c r="G160" s="66">
        <v>0.62044600000000005</v>
      </c>
      <c r="H160" s="66">
        <v>171</v>
      </c>
      <c r="I160" s="68" t="str">
        <f t="shared" si="4"/>
        <v>NIE</v>
      </c>
      <c r="J160" s="66">
        <v>-0.77508299999999997</v>
      </c>
      <c r="K160" s="70">
        <v>2.55935E-8</v>
      </c>
      <c r="L160" s="66">
        <v>0.62044600000000005</v>
      </c>
      <c r="M160" s="66">
        <v>189</v>
      </c>
      <c r="N160" s="6" t="str">
        <f t="shared" si="5"/>
        <v>NIE</v>
      </c>
    </row>
    <row r="161" spans="1:14">
      <c r="A161" s="41"/>
      <c r="B161" s="1">
        <v>59</v>
      </c>
      <c r="C161" s="67">
        <v>-0.96</v>
      </c>
      <c r="D161" s="67">
        <v>-0.95</v>
      </c>
      <c r="E161" s="67">
        <v>-0.77513399999999999</v>
      </c>
      <c r="F161" s="67">
        <v>-0.77513399999999999</v>
      </c>
      <c r="G161" s="67">
        <v>1.24089</v>
      </c>
      <c r="H161" s="67">
        <v>152</v>
      </c>
      <c r="I161" s="68" t="str">
        <f t="shared" si="4"/>
        <v>NIE</v>
      </c>
      <c r="J161" s="67">
        <v>-0.77508600000000005</v>
      </c>
      <c r="K161" s="67">
        <v>-0.775084</v>
      </c>
      <c r="L161" s="67">
        <v>1.24089</v>
      </c>
      <c r="M161" s="67">
        <v>131</v>
      </c>
      <c r="N161" s="6" t="str">
        <f t="shared" si="5"/>
        <v>NIE</v>
      </c>
    </row>
    <row r="162" spans="1:14">
      <c r="A162" s="41"/>
      <c r="B162" s="1">
        <v>60</v>
      </c>
      <c r="C162" s="66">
        <v>0.5</v>
      </c>
      <c r="D162" s="66">
        <v>-0.16</v>
      </c>
      <c r="E162" s="66">
        <v>0.77513399999999999</v>
      </c>
      <c r="F162" s="70">
        <v>1.09288E-16</v>
      </c>
      <c r="G162" s="66">
        <v>0.62044600000000005</v>
      </c>
      <c r="H162" s="66">
        <v>220</v>
      </c>
      <c r="I162" s="68" t="str">
        <f t="shared" si="4"/>
        <v>NIE</v>
      </c>
      <c r="J162" s="66">
        <v>0.77508200000000005</v>
      </c>
      <c r="K162" s="70">
        <v>3.3664000000000003E-8</v>
      </c>
      <c r="L162" s="66">
        <v>0.62044600000000005</v>
      </c>
      <c r="M162" s="66">
        <v>97</v>
      </c>
      <c r="N162" s="6" t="str">
        <f t="shared" si="5"/>
        <v>NIE</v>
      </c>
    </row>
    <row r="163" spans="1:14">
      <c r="A163" s="41"/>
      <c r="B163" s="1">
        <v>61</v>
      </c>
      <c r="C163" s="67">
        <v>-0.27</v>
      </c>
      <c r="D163" s="67">
        <v>-0.77</v>
      </c>
      <c r="E163" s="69">
        <v>2.2638100000000001E-16</v>
      </c>
      <c r="F163" s="67">
        <v>-0.77513399999999999</v>
      </c>
      <c r="G163" s="67">
        <v>0.62044600000000005</v>
      </c>
      <c r="H163" s="67">
        <v>177</v>
      </c>
      <c r="I163" s="68" t="str">
        <f t="shared" si="4"/>
        <v>NIE</v>
      </c>
      <c r="J163" s="69">
        <v>4.6215699999999999E-8</v>
      </c>
      <c r="K163" s="67">
        <v>-0.775084</v>
      </c>
      <c r="L163" s="67">
        <v>0.62044600000000005</v>
      </c>
      <c r="M163" s="67">
        <v>145</v>
      </c>
      <c r="N163" s="6" t="str">
        <f t="shared" si="5"/>
        <v>NIE</v>
      </c>
    </row>
    <row r="164" spans="1:14">
      <c r="A164" s="41"/>
      <c r="B164" s="1">
        <v>62</v>
      </c>
      <c r="C164" s="66">
        <v>0.06</v>
      </c>
      <c r="D164" s="66">
        <v>-0.43</v>
      </c>
      <c r="E164" s="70">
        <v>-8.6736199999999997E-19</v>
      </c>
      <c r="F164" s="66">
        <v>-0.77513399999999999</v>
      </c>
      <c r="G164" s="66">
        <v>0.62044600000000005</v>
      </c>
      <c r="H164" s="66">
        <v>208</v>
      </c>
      <c r="I164" s="68" t="str">
        <f t="shared" si="4"/>
        <v>NIE</v>
      </c>
      <c r="J164" s="70">
        <v>-4.4539599999999999E-8</v>
      </c>
      <c r="K164" s="66">
        <v>-0.775084</v>
      </c>
      <c r="L164" s="66">
        <v>0.62044600000000005</v>
      </c>
      <c r="M164" s="66">
        <v>311</v>
      </c>
      <c r="N164" s="6" t="str">
        <f t="shared" si="5"/>
        <v>NIE</v>
      </c>
    </row>
    <row r="165" spans="1:14">
      <c r="A165" s="41"/>
      <c r="B165" s="1">
        <v>63</v>
      </c>
      <c r="C165" s="67">
        <v>0.21</v>
      </c>
      <c r="D165" s="67">
        <v>0.12</v>
      </c>
      <c r="E165" s="69">
        <v>-2.2638100000000001E-16</v>
      </c>
      <c r="F165" s="69">
        <v>-5.2041699999999996E-18</v>
      </c>
      <c r="G165" s="67">
        <v>0</v>
      </c>
      <c r="H165" s="67">
        <v>216</v>
      </c>
      <c r="I165" s="68" t="str">
        <f t="shared" si="4"/>
        <v>TAK</v>
      </c>
      <c r="J165" s="69">
        <v>8.3297599999999998E-7</v>
      </c>
      <c r="K165" s="69">
        <v>-1.14176E-6</v>
      </c>
      <c r="L165" s="69">
        <v>6.3542100000000005E-11</v>
      </c>
      <c r="M165" s="67">
        <v>187</v>
      </c>
      <c r="N165" s="6" t="str">
        <f t="shared" si="5"/>
        <v>TAK</v>
      </c>
    </row>
    <row r="166" spans="1:14">
      <c r="A166" s="41"/>
      <c r="B166" s="1">
        <v>64</v>
      </c>
      <c r="C166" s="66">
        <v>-0.7</v>
      </c>
      <c r="D166" s="66">
        <v>-0.37</v>
      </c>
      <c r="E166" s="66">
        <v>-0.77513399999999999</v>
      </c>
      <c r="F166" s="70">
        <v>3.3913799999999999E-16</v>
      </c>
      <c r="G166" s="66">
        <v>0.62044600000000005</v>
      </c>
      <c r="H166" s="66">
        <v>208</v>
      </c>
      <c r="I166" s="68" t="str">
        <f t="shared" si="4"/>
        <v>NIE</v>
      </c>
      <c r="J166" s="66">
        <v>-0.77508299999999997</v>
      </c>
      <c r="K166" s="70">
        <v>4.8648599999999999E-8</v>
      </c>
      <c r="L166" s="66">
        <v>0.62044600000000005</v>
      </c>
      <c r="M166" s="66">
        <v>235</v>
      </c>
      <c r="N166" s="6" t="str">
        <f t="shared" si="5"/>
        <v>NIE</v>
      </c>
    </row>
    <row r="167" spans="1:14">
      <c r="A167" s="41"/>
      <c r="B167" s="1">
        <v>65</v>
      </c>
      <c r="C167" s="67">
        <v>-0.66</v>
      </c>
      <c r="D167" s="67">
        <v>-0.76</v>
      </c>
      <c r="E167" s="67">
        <v>-0.77513399999999999</v>
      </c>
      <c r="F167" s="67">
        <v>-0.77513399999999999</v>
      </c>
      <c r="G167" s="67">
        <v>1.24089</v>
      </c>
      <c r="H167" s="67">
        <v>144</v>
      </c>
      <c r="I167" s="68" t="str">
        <f t="shared" si="4"/>
        <v>NIE</v>
      </c>
      <c r="J167" s="67">
        <v>-0.77508299999999997</v>
      </c>
      <c r="K167" s="67">
        <v>-0.775084</v>
      </c>
      <c r="L167" s="67">
        <v>1.24089</v>
      </c>
      <c r="M167" s="67">
        <v>251</v>
      </c>
      <c r="N167" s="6" t="str">
        <f t="shared" si="5"/>
        <v>NIE</v>
      </c>
    </row>
    <row r="168" spans="1:14">
      <c r="A168" s="41"/>
      <c r="B168" s="1">
        <v>66</v>
      </c>
      <c r="C168" s="66">
        <v>-0.43</v>
      </c>
      <c r="D168" s="66">
        <v>0.75</v>
      </c>
      <c r="E168" s="66">
        <v>-0.77513399999999999</v>
      </c>
      <c r="F168" s="66">
        <v>0.77513399999999999</v>
      </c>
      <c r="G168" s="66">
        <v>1.24089</v>
      </c>
      <c r="H168" s="66">
        <v>201</v>
      </c>
      <c r="I168" s="68" t="str">
        <f t="shared" si="4"/>
        <v>NIE</v>
      </c>
      <c r="J168" s="66">
        <v>-0.77508500000000002</v>
      </c>
      <c r="K168" s="66">
        <v>0.775084</v>
      </c>
      <c r="L168" s="66">
        <v>1.24089</v>
      </c>
      <c r="M168" s="66">
        <v>249</v>
      </c>
      <c r="N168" s="6" t="str">
        <f t="shared" si="5"/>
        <v>NIE</v>
      </c>
    </row>
    <row r="169" spans="1:14">
      <c r="A169" s="41"/>
      <c r="B169" s="1">
        <v>67</v>
      </c>
      <c r="C169" s="67">
        <v>0.45</v>
      </c>
      <c r="D169" s="67">
        <v>-0.84</v>
      </c>
      <c r="E169" s="67">
        <v>0.77513399999999999</v>
      </c>
      <c r="F169" s="67">
        <v>-0.77513399999999999</v>
      </c>
      <c r="G169" s="67">
        <v>1.24089</v>
      </c>
      <c r="H169" s="67">
        <v>202</v>
      </c>
      <c r="I169" s="68" t="str">
        <f t="shared" si="4"/>
        <v>NIE</v>
      </c>
      <c r="J169" s="67">
        <v>0.77508299999999997</v>
      </c>
      <c r="K169" s="67">
        <v>-0.775084</v>
      </c>
      <c r="L169" s="67">
        <v>1.24089</v>
      </c>
      <c r="M169" s="67">
        <v>219</v>
      </c>
      <c r="N169" s="6" t="str">
        <f t="shared" si="5"/>
        <v>NIE</v>
      </c>
    </row>
    <row r="170" spans="1:14">
      <c r="A170" s="41"/>
      <c r="B170" s="1">
        <v>68</v>
      </c>
      <c r="C170" s="66">
        <v>-0.9</v>
      </c>
      <c r="D170" s="66">
        <v>-0.9</v>
      </c>
      <c r="E170" s="66">
        <v>-0.77513399999999999</v>
      </c>
      <c r="F170" s="66">
        <v>-0.77513399999999999</v>
      </c>
      <c r="G170" s="66">
        <v>1.24089</v>
      </c>
      <c r="H170" s="66">
        <v>129</v>
      </c>
      <c r="I170" s="68" t="str">
        <f t="shared" si="4"/>
        <v>NIE</v>
      </c>
      <c r="J170" s="66">
        <v>-0.77522800000000003</v>
      </c>
      <c r="K170" s="66">
        <v>-0.77522800000000003</v>
      </c>
      <c r="L170" s="66">
        <v>1.24089</v>
      </c>
      <c r="M170" s="66">
        <v>51</v>
      </c>
      <c r="N170" s="6" t="str">
        <f t="shared" si="5"/>
        <v>NIE</v>
      </c>
    </row>
    <row r="171" spans="1:14">
      <c r="A171" s="41"/>
      <c r="B171" s="1">
        <v>69</v>
      </c>
      <c r="C171" s="67">
        <v>-0.12</v>
      </c>
      <c r="D171" s="67">
        <v>0</v>
      </c>
      <c r="E171" s="69">
        <v>1.10155E-16</v>
      </c>
      <c r="F171" s="67">
        <v>0</v>
      </c>
      <c r="G171" s="67">
        <v>0</v>
      </c>
      <c r="H171" s="67">
        <v>120</v>
      </c>
      <c r="I171" s="68" t="str">
        <f t="shared" si="4"/>
        <v>TAK</v>
      </c>
      <c r="J171" s="67">
        <v>1.0423299999999999E-3</v>
      </c>
      <c r="K171" s="67">
        <v>0</v>
      </c>
      <c r="L171" s="69">
        <v>3.4561099999999997E-5</v>
      </c>
      <c r="M171" s="67">
        <v>39</v>
      </c>
      <c r="N171" s="6" t="str">
        <f t="shared" si="5"/>
        <v>TAK</v>
      </c>
    </row>
    <row r="172" spans="1:14">
      <c r="A172" s="41"/>
      <c r="B172" s="1">
        <v>70</v>
      </c>
      <c r="C172" s="66">
        <v>-0.09</v>
      </c>
      <c r="D172" s="66">
        <v>0.42</v>
      </c>
      <c r="E172" s="70">
        <v>1.11022E-16</v>
      </c>
      <c r="F172" s="66">
        <v>0.77513399999999999</v>
      </c>
      <c r="G172" s="66">
        <v>0.62044600000000005</v>
      </c>
      <c r="H172" s="66">
        <v>218</v>
      </c>
      <c r="I172" s="68" t="str">
        <f t="shared" si="4"/>
        <v>NIE</v>
      </c>
      <c r="J172" s="70">
        <v>-2.8830199999999999E-6</v>
      </c>
      <c r="K172" s="66">
        <v>0.77508299999999997</v>
      </c>
      <c r="L172" s="66">
        <v>0.62044600000000005</v>
      </c>
      <c r="M172" s="66">
        <v>155</v>
      </c>
      <c r="N172" s="6" t="str">
        <f t="shared" si="5"/>
        <v>NIE</v>
      </c>
    </row>
    <row r="173" spans="1:14">
      <c r="A173" s="41"/>
      <c r="B173" s="1">
        <v>71</v>
      </c>
      <c r="C173" s="67">
        <v>0.01</v>
      </c>
      <c r="D173" s="67">
        <v>-0.73</v>
      </c>
      <c r="E173" s="69">
        <v>8.6736199999999997E-19</v>
      </c>
      <c r="F173" s="67">
        <v>-0.77513399999999999</v>
      </c>
      <c r="G173" s="67">
        <v>0.62044600000000005</v>
      </c>
      <c r="H173" s="67">
        <v>125</v>
      </c>
      <c r="I173" s="68" t="str">
        <f t="shared" si="4"/>
        <v>NIE</v>
      </c>
      <c r="J173" s="69">
        <v>-1.0372100000000001E-8</v>
      </c>
      <c r="K173" s="67">
        <v>-0.775084</v>
      </c>
      <c r="L173" s="67">
        <v>0.62044600000000005</v>
      </c>
      <c r="M173" s="67">
        <v>243</v>
      </c>
      <c r="N173" s="6" t="str">
        <f t="shared" si="5"/>
        <v>NIE</v>
      </c>
    </row>
    <row r="174" spans="1:14">
      <c r="A174" s="41"/>
      <c r="B174" s="1">
        <v>72</v>
      </c>
      <c r="C174" s="66">
        <v>-0.64</v>
      </c>
      <c r="D174" s="66">
        <v>-0.2</v>
      </c>
      <c r="E174" s="66">
        <v>-0.77513399999999999</v>
      </c>
      <c r="F174" s="70">
        <v>2.2031E-16</v>
      </c>
      <c r="G174" s="66">
        <v>0.62044600000000005</v>
      </c>
      <c r="H174" s="66">
        <v>173</v>
      </c>
      <c r="I174" s="68" t="str">
        <f t="shared" si="4"/>
        <v>NIE</v>
      </c>
      <c r="J174" s="66">
        <v>-0.775084</v>
      </c>
      <c r="K174" s="70">
        <v>-4.4194499999999999E-8</v>
      </c>
      <c r="L174" s="66">
        <v>0.62044600000000005</v>
      </c>
      <c r="M174" s="66">
        <v>253</v>
      </c>
      <c r="N174" s="6" t="str">
        <f t="shared" si="5"/>
        <v>NIE</v>
      </c>
    </row>
    <row r="175" spans="1:14">
      <c r="A175" s="41"/>
      <c r="B175" s="1">
        <v>73</v>
      </c>
      <c r="C175" s="67">
        <v>0.3</v>
      </c>
      <c r="D175" s="67">
        <v>-0.63</v>
      </c>
      <c r="E175" s="69">
        <v>-2.2464700000000001E-16</v>
      </c>
      <c r="F175" s="67">
        <v>-0.77513399999999999</v>
      </c>
      <c r="G175" s="67">
        <v>0.62044600000000005</v>
      </c>
      <c r="H175" s="67">
        <v>257</v>
      </c>
      <c r="I175" s="68" t="str">
        <f t="shared" si="4"/>
        <v>NIE</v>
      </c>
      <c r="J175" s="69">
        <v>9.5992700000000002E-7</v>
      </c>
      <c r="K175" s="67">
        <v>-0.77508299999999997</v>
      </c>
      <c r="L175" s="67">
        <v>0.62044600000000005</v>
      </c>
      <c r="M175" s="67">
        <v>207</v>
      </c>
      <c r="N175" s="6" t="str">
        <f t="shared" si="5"/>
        <v>NIE</v>
      </c>
    </row>
    <row r="176" spans="1:14">
      <c r="A176" s="41"/>
      <c r="B176" s="1">
        <v>74</v>
      </c>
      <c r="C176" s="66">
        <v>0.55000000000000004</v>
      </c>
      <c r="D176" s="66">
        <v>-0.14000000000000001</v>
      </c>
      <c r="E176" s="66">
        <v>0.77513399999999999</v>
      </c>
      <c r="F176" s="70">
        <v>1.13624E-16</v>
      </c>
      <c r="G176" s="66">
        <v>0.62044600000000005</v>
      </c>
      <c r="H176" s="66">
        <v>179</v>
      </c>
      <c r="I176" s="68" t="str">
        <f t="shared" si="4"/>
        <v>NIE</v>
      </c>
      <c r="J176" s="66">
        <v>0.77508299999999997</v>
      </c>
      <c r="K176" s="70">
        <v>3.4639499999999998E-9</v>
      </c>
      <c r="L176" s="66">
        <v>0.62044600000000005</v>
      </c>
      <c r="M176" s="66">
        <v>215</v>
      </c>
      <c r="N176" s="6" t="str">
        <f t="shared" si="5"/>
        <v>NIE</v>
      </c>
    </row>
    <row r="177" spans="1:14">
      <c r="A177" s="41"/>
      <c r="B177" s="1">
        <v>75</v>
      </c>
      <c r="C177" s="67">
        <v>0.94</v>
      </c>
      <c r="D177" s="67">
        <v>0.06</v>
      </c>
      <c r="E177" s="67">
        <v>0.77513399999999999</v>
      </c>
      <c r="F177" s="69">
        <v>-1.73472E-18</v>
      </c>
      <c r="G177" s="67">
        <v>0.62044600000000005</v>
      </c>
      <c r="H177" s="67">
        <v>194</v>
      </c>
      <c r="I177" s="68" t="str">
        <f t="shared" si="4"/>
        <v>NIE</v>
      </c>
      <c r="J177" s="67">
        <v>0.77508299999999997</v>
      </c>
      <c r="K177" s="69">
        <v>4.0676999999999998E-7</v>
      </c>
      <c r="L177" s="67">
        <v>0.62044600000000005</v>
      </c>
      <c r="M177" s="67">
        <v>283</v>
      </c>
      <c r="N177" s="6" t="str">
        <f t="shared" si="5"/>
        <v>NIE</v>
      </c>
    </row>
    <row r="178" spans="1:14">
      <c r="A178" s="41"/>
      <c r="B178" s="1">
        <v>76</v>
      </c>
      <c r="C178" s="66">
        <v>0.71</v>
      </c>
      <c r="D178" s="66">
        <v>-0.33</v>
      </c>
      <c r="E178" s="66">
        <v>0.77513399999999999</v>
      </c>
      <c r="F178" s="70">
        <v>3.2786300000000002E-16</v>
      </c>
      <c r="G178" s="66">
        <v>0.62044600000000005</v>
      </c>
      <c r="H178" s="66">
        <v>200</v>
      </c>
      <c r="I178" s="68" t="str">
        <f t="shared" si="4"/>
        <v>NIE</v>
      </c>
      <c r="J178" s="66">
        <v>0.775084</v>
      </c>
      <c r="K178" s="70">
        <v>-1.3540699999999999E-6</v>
      </c>
      <c r="L178" s="66">
        <v>0.62044600000000005</v>
      </c>
      <c r="M178" s="66">
        <v>175</v>
      </c>
      <c r="N178" s="6" t="str">
        <f t="shared" si="5"/>
        <v>NIE</v>
      </c>
    </row>
    <row r="179" spans="1:14">
      <c r="A179" s="41"/>
      <c r="B179" s="1">
        <v>77</v>
      </c>
      <c r="C179" s="67">
        <v>-0.19</v>
      </c>
      <c r="D179" s="67">
        <v>-0.23</v>
      </c>
      <c r="E179" s="69">
        <v>2.2204499999999999E-16</v>
      </c>
      <c r="F179" s="69">
        <v>2.2031E-16</v>
      </c>
      <c r="G179" s="67">
        <v>0</v>
      </c>
      <c r="H179" s="67">
        <v>158</v>
      </c>
      <c r="I179" s="68" t="str">
        <f t="shared" si="4"/>
        <v>TAK</v>
      </c>
      <c r="J179" s="69">
        <v>5.3299199999999997E-9</v>
      </c>
      <c r="K179" s="69">
        <v>4.7234599999999997E-8</v>
      </c>
      <c r="L179" s="69">
        <v>7.1942499999999999E-14</v>
      </c>
      <c r="M179" s="67">
        <v>171</v>
      </c>
      <c r="N179" s="6" t="str">
        <f t="shared" si="5"/>
        <v>TAK</v>
      </c>
    </row>
    <row r="180" spans="1:14">
      <c r="A180" s="41"/>
      <c r="B180" s="1">
        <v>78</v>
      </c>
      <c r="C180" s="66">
        <v>-0.24</v>
      </c>
      <c r="D180" s="66">
        <v>0.55000000000000004</v>
      </c>
      <c r="E180" s="70">
        <v>2.1770800000000001E-16</v>
      </c>
      <c r="F180" s="66">
        <v>0.77513399999999999</v>
      </c>
      <c r="G180" s="66">
        <v>0.62044600000000005</v>
      </c>
      <c r="H180" s="66">
        <v>153</v>
      </c>
      <c r="I180" s="68" t="str">
        <f t="shared" si="4"/>
        <v>NIE</v>
      </c>
      <c r="J180" s="70">
        <v>-2.0263999999999999E-7</v>
      </c>
      <c r="K180" s="66">
        <v>0.77507899999999996</v>
      </c>
      <c r="L180" s="66">
        <v>0.62044600000000005</v>
      </c>
      <c r="M180" s="66">
        <v>173</v>
      </c>
      <c r="N180" s="6" t="str">
        <f t="shared" si="5"/>
        <v>NIE</v>
      </c>
    </row>
    <row r="181" spans="1:14">
      <c r="A181" s="41"/>
      <c r="B181" s="1">
        <v>79</v>
      </c>
      <c r="C181" s="67">
        <v>0.42</v>
      </c>
      <c r="D181" s="67">
        <v>7.0000000000000007E-2</v>
      </c>
      <c r="E181" s="67">
        <v>0.77513399999999999</v>
      </c>
      <c r="F181" s="69">
        <v>8.6736199999999997E-19</v>
      </c>
      <c r="G181" s="67">
        <v>0.62044600000000005</v>
      </c>
      <c r="H181" s="67">
        <v>211</v>
      </c>
      <c r="I181" s="68" t="str">
        <f t="shared" si="4"/>
        <v>NIE</v>
      </c>
      <c r="J181" s="67">
        <v>0.775084</v>
      </c>
      <c r="K181" s="69">
        <v>3.91922E-9</v>
      </c>
      <c r="L181" s="67">
        <v>0.62044600000000005</v>
      </c>
      <c r="M181" s="67">
        <v>187</v>
      </c>
      <c r="N181" s="6" t="str">
        <f t="shared" si="5"/>
        <v>NIE</v>
      </c>
    </row>
    <row r="182" spans="1:14">
      <c r="A182" s="41"/>
      <c r="B182" s="1">
        <v>80</v>
      </c>
      <c r="C182" s="66">
        <v>-0.82</v>
      </c>
      <c r="D182" s="66">
        <v>0.76</v>
      </c>
      <c r="E182" s="66">
        <v>-0.77513399999999999</v>
      </c>
      <c r="F182" s="66">
        <v>0.77513399999999999</v>
      </c>
      <c r="G182" s="66">
        <v>1.24089</v>
      </c>
      <c r="H182" s="66">
        <v>123</v>
      </c>
      <c r="I182" s="68" t="str">
        <f t="shared" si="4"/>
        <v>NIE</v>
      </c>
      <c r="J182" s="66">
        <v>-0.77508100000000002</v>
      </c>
      <c r="K182" s="66">
        <v>0.77508600000000005</v>
      </c>
      <c r="L182" s="66">
        <v>1.24089</v>
      </c>
      <c r="M182" s="66">
        <v>65</v>
      </c>
      <c r="N182" s="6" t="str">
        <f t="shared" si="5"/>
        <v>NIE</v>
      </c>
    </row>
    <row r="183" spans="1:14">
      <c r="A183" s="41"/>
      <c r="B183" s="1">
        <v>81</v>
      </c>
      <c r="C183" s="67">
        <v>0.31</v>
      </c>
      <c r="D183" s="67">
        <v>-0.25</v>
      </c>
      <c r="E183" s="69">
        <v>-2.2031E-16</v>
      </c>
      <c r="F183" s="69">
        <v>2.2464700000000001E-16</v>
      </c>
      <c r="G183" s="67">
        <v>0</v>
      </c>
      <c r="H183" s="67">
        <v>213</v>
      </c>
      <c r="I183" s="68" t="str">
        <f t="shared" si="4"/>
        <v>TAK</v>
      </c>
      <c r="J183" s="69">
        <v>1.1590799999999999E-7</v>
      </c>
      <c r="K183" s="69">
        <v>-1.3676799999999999E-5</v>
      </c>
      <c r="L183" s="69">
        <v>5.95085E-9</v>
      </c>
      <c r="M183" s="67">
        <v>175</v>
      </c>
      <c r="N183" s="6" t="str">
        <f t="shared" si="5"/>
        <v>TAK</v>
      </c>
    </row>
    <row r="184" spans="1:14">
      <c r="A184" s="41"/>
      <c r="B184" s="1">
        <v>82</v>
      </c>
      <c r="C184" s="66">
        <v>0.51</v>
      </c>
      <c r="D184" s="66">
        <v>-0.23</v>
      </c>
      <c r="E184" s="66">
        <v>0.77513399999999999</v>
      </c>
      <c r="F184" s="70">
        <v>2.2291199999999999E-16</v>
      </c>
      <c r="G184" s="66">
        <v>0.62044600000000005</v>
      </c>
      <c r="H184" s="66">
        <v>180</v>
      </c>
      <c r="I184" s="68" t="str">
        <f t="shared" si="4"/>
        <v>NIE</v>
      </c>
      <c r="J184" s="66">
        <v>0.775084</v>
      </c>
      <c r="K184" s="70">
        <v>2.2516599999999999E-7</v>
      </c>
      <c r="L184" s="66">
        <v>0.62044600000000005</v>
      </c>
      <c r="M184" s="66">
        <v>179</v>
      </c>
      <c r="N184" s="6" t="str">
        <f t="shared" si="5"/>
        <v>NIE</v>
      </c>
    </row>
    <row r="185" spans="1:14">
      <c r="A185" s="41"/>
      <c r="B185" s="1">
        <v>83</v>
      </c>
      <c r="C185" s="67">
        <v>-0.56999999999999995</v>
      </c>
      <c r="D185" s="67">
        <v>0.13</v>
      </c>
      <c r="E185" s="67">
        <v>-0.77513399999999999</v>
      </c>
      <c r="F185" s="69">
        <v>-2.2638100000000001E-16</v>
      </c>
      <c r="G185" s="67">
        <v>0.62044600000000005</v>
      </c>
      <c r="H185" s="67">
        <v>211</v>
      </c>
      <c r="I185" s="68" t="str">
        <f t="shared" si="4"/>
        <v>NIE</v>
      </c>
      <c r="J185" s="67">
        <v>-0.775084</v>
      </c>
      <c r="K185" s="69">
        <v>7.9862299999999996E-7</v>
      </c>
      <c r="L185" s="67">
        <v>0.62044600000000005</v>
      </c>
      <c r="M185" s="67">
        <v>215</v>
      </c>
      <c r="N185" s="6" t="str">
        <f t="shared" si="5"/>
        <v>NIE</v>
      </c>
    </row>
    <row r="186" spans="1:14">
      <c r="A186" s="41"/>
      <c r="B186" s="1">
        <v>84</v>
      </c>
      <c r="C186" s="66">
        <v>-0.61</v>
      </c>
      <c r="D186" s="66">
        <v>-0.17</v>
      </c>
      <c r="E186" s="66">
        <v>-0.77513399999999999</v>
      </c>
      <c r="F186" s="70">
        <v>1.11022E-16</v>
      </c>
      <c r="G186" s="66">
        <v>0.62044600000000005</v>
      </c>
      <c r="H186" s="66">
        <v>158</v>
      </c>
      <c r="I186" s="68" t="str">
        <f t="shared" si="4"/>
        <v>NIE</v>
      </c>
      <c r="J186" s="66">
        <v>-0.775084</v>
      </c>
      <c r="K186" s="70">
        <v>-2.2117100000000001E-8</v>
      </c>
      <c r="L186" s="66">
        <v>0.62044600000000005</v>
      </c>
      <c r="M186" s="66">
        <v>271</v>
      </c>
      <c r="N186" s="6" t="str">
        <f t="shared" si="5"/>
        <v>NIE</v>
      </c>
    </row>
    <row r="187" spans="1:14">
      <c r="A187" s="41"/>
      <c r="B187" s="1">
        <v>85</v>
      </c>
      <c r="C187" s="67">
        <v>-0.87</v>
      </c>
      <c r="D187" s="67">
        <v>0.31</v>
      </c>
      <c r="E187" s="67">
        <v>-0.77513399999999999</v>
      </c>
      <c r="F187" s="69">
        <v>-2.2377899999999999E-16</v>
      </c>
      <c r="G187" s="67">
        <v>0.62044600000000005</v>
      </c>
      <c r="H187" s="67">
        <v>243</v>
      </c>
      <c r="I187" s="68" t="str">
        <f t="shared" si="4"/>
        <v>NIE</v>
      </c>
      <c r="J187" s="67">
        <v>-0.77508299999999997</v>
      </c>
      <c r="K187" s="69">
        <v>-4.5017200000000002E-7</v>
      </c>
      <c r="L187" s="67">
        <v>0.62044600000000005</v>
      </c>
      <c r="M187" s="67">
        <v>239</v>
      </c>
      <c r="N187" s="6" t="str">
        <f t="shared" si="5"/>
        <v>NIE</v>
      </c>
    </row>
    <row r="188" spans="1:14">
      <c r="A188" s="41"/>
      <c r="B188" s="1">
        <v>86</v>
      </c>
      <c r="C188" s="66">
        <v>-0.75</v>
      </c>
      <c r="D188" s="66">
        <v>-0.33</v>
      </c>
      <c r="E188" s="66">
        <v>-0.77513399999999999</v>
      </c>
      <c r="F188" s="70">
        <v>3.2786300000000002E-16</v>
      </c>
      <c r="G188" s="66">
        <v>0.62044600000000005</v>
      </c>
      <c r="H188" s="66">
        <v>173</v>
      </c>
      <c r="I188" s="68" t="str">
        <f t="shared" si="4"/>
        <v>NIE</v>
      </c>
      <c r="J188" s="66">
        <v>-0.775084</v>
      </c>
      <c r="K188" s="70">
        <v>1.2776600000000001E-7</v>
      </c>
      <c r="L188" s="66">
        <v>0.62044600000000005</v>
      </c>
      <c r="M188" s="66">
        <v>197</v>
      </c>
      <c r="N188" s="6" t="str">
        <f t="shared" si="5"/>
        <v>NIE</v>
      </c>
    </row>
    <row r="189" spans="1:14">
      <c r="A189" s="41"/>
      <c r="B189" s="1">
        <v>87</v>
      </c>
      <c r="C189" s="67">
        <v>0.1</v>
      </c>
      <c r="D189" s="67">
        <v>-0.39</v>
      </c>
      <c r="E189" s="69">
        <v>-1.39645E-16</v>
      </c>
      <c r="F189" s="69">
        <v>3.19189E-16</v>
      </c>
      <c r="G189" s="67">
        <v>0</v>
      </c>
      <c r="H189" s="67">
        <v>212</v>
      </c>
      <c r="I189" s="68" t="str">
        <f t="shared" si="4"/>
        <v>TAK</v>
      </c>
      <c r="J189" s="69">
        <v>6.9689699999999998E-9</v>
      </c>
      <c r="K189" s="69">
        <v>4.1043200000000003E-8</v>
      </c>
      <c r="L189" s="69">
        <v>5.5067099999999997E-14</v>
      </c>
      <c r="M189" s="67">
        <v>241</v>
      </c>
      <c r="N189" s="6" t="str">
        <f t="shared" si="5"/>
        <v>TAK</v>
      </c>
    </row>
    <row r="190" spans="1:14">
      <c r="A190" s="41"/>
      <c r="B190" s="1">
        <v>88</v>
      </c>
      <c r="C190" s="66">
        <v>-0.01</v>
      </c>
      <c r="D190" s="66">
        <v>-0.6</v>
      </c>
      <c r="E190" s="70">
        <v>6.9388900000000004E-18</v>
      </c>
      <c r="F190" s="66">
        <v>-0.77513399999999999</v>
      </c>
      <c r="G190" s="66">
        <v>0.62044600000000005</v>
      </c>
      <c r="H190" s="66">
        <v>166</v>
      </c>
      <c r="I190" s="68" t="str">
        <f t="shared" si="4"/>
        <v>NIE</v>
      </c>
      <c r="J190" s="70">
        <v>-5.9740699999999997E-7</v>
      </c>
      <c r="K190" s="66">
        <v>-0.77507999999999999</v>
      </c>
      <c r="L190" s="66">
        <v>0.62044600000000005</v>
      </c>
      <c r="M190" s="66">
        <v>187</v>
      </c>
      <c r="N190" s="6" t="str">
        <f t="shared" si="5"/>
        <v>NIE</v>
      </c>
    </row>
    <row r="191" spans="1:14">
      <c r="A191" s="41"/>
      <c r="B191" s="1">
        <v>89</v>
      </c>
      <c r="C191" s="67">
        <v>-0.5</v>
      </c>
      <c r="D191" s="67">
        <v>-0.45</v>
      </c>
      <c r="E191" s="67">
        <v>-0.77513399999999999</v>
      </c>
      <c r="F191" s="67">
        <v>-0.77513399999999999</v>
      </c>
      <c r="G191" s="67">
        <v>1.24089</v>
      </c>
      <c r="H191" s="67">
        <v>232</v>
      </c>
      <c r="I191" s="68" t="str">
        <f t="shared" si="4"/>
        <v>NIE</v>
      </c>
      <c r="J191" s="67">
        <v>-0.77508299999999997</v>
      </c>
      <c r="K191" s="67">
        <v>-0.77508299999999997</v>
      </c>
      <c r="L191" s="67">
        <v>1.24089</v>
      </c>
      <c r="M191" s="67">
        <v>271</v>
      </c>
      <c r="N191" s="6" t="str">
        <f t="shared" si="5"/>
        <v>NIE</v>
      </c>
    </row>
    <row r="192" spans="1:14">
      <c r="A192" s="41"/>
      <c r="B192" s="1">
        <v>90</v>
      </c>
      <c r="C192" s="66">
        <v>-0.21</v>
      </c>
      <c r="D192" s="66">
        <v>-0.56000000000000005</v>
      </c>
      <c r="E192" s="70">
        <v>2.21177E-16</v>
      </c>
      <c r="F192" s="66">
        <v>-0.77513399999999999</v>
      </c>
      <c r="G192" s="66">
        <v>0.62044600000000005</v>
      </c>
      <c r="H192" s="66">
        <v>167</v>
      </c>
      <c r="I192" s="68" t="str">
        <f t="shared" si="4"/>
        <v>NIE</v>
      </c>
      <c r="J192" s="70">
        <v>-8.1832799999999999E-7</v>
      </c>
      <c r="K192" s="66">
        <v>-0.77508299999999997</v>
      </c>
      <c r="L192" s="66">
        <v>0.62044600000000005</v>
      </c>
      <c r="M192" s="66">
        <v>177</v>
      </c>
      <c r="N192" s="6" t="str">
        <f t="shared" si="5"/>
        <v>NIE</v>
      </c>
    </row>
    <row r="193" spans="1:20">
      <c r="A193" s="41"/>
      <c r="B193" s="1">
        <v>91</v>
      </c>
      <c r="C193" s="67">
        <v>0.13</v>
      </c>
      <c r="D193" s="67">
        <v>-0.5</v>
      </c>
      <c r="E193" s="69">
        <v>-2.2377899999999999E-16</v>
      </c>
      <c r="F193" s="67">
        <v>-0.77513399999999999</v>
      </c>
      <c r="G193" s="67">
        <v>0.62044600000000005</v>
      </c>
      <c r="H193" s="67">
        <v>239</v>
      </c>
      <c r="I193" s="68" t="str">
        <f t="shared" si="4"/>
        <v>NIE</v>
      </c>
      <c r="J193" s="69">
        <v>-3.7423599999999999E-7</v>
      </c>
      <c r="K193" s="67">
        <v>-0.775084</v>
      </c>
      <c r="L193" s="67">
        <v>0.62044600000000005</v>
      </c>
      <c r="M193" s="67">
        <v>233</v>
      </c>
      <c r="N193" s="6" t="str">
        <f t="shared" si="5"/>
        <v>NIE</v>
      </c>
    </row>
    <row r="194" spans="1:20">
      <c r="A194" s="41"/>
      <c r="B194" s="1">
        <v>92</v>
      </c>
      <c r="C194" s="66">
        <v>-0.36</v>
      </c>
      <c r="D194" s="66">
        <v>0.46</v>
      </c>
      <c r="E194" s="70">
        <v>3.3133199999999999E-16</v>
      </c>
      <c r="F194" s="66">
        <v>0.77513399999999999</v>
      </c>
      <c r="G194" s="66">
        <v>0.62044600000000005</v>
      </c>
      <c r="H194" s="66">
        <v>198</v>
      </c>
      <c r="I194" s="68" t="str">
        <f t="shared" si="4"/>
        <v>NIE</v>
      </c>
      <c r="J194" s="70">
        <v>6.1448200000000006E-8</v>
      </c>
      <c r="K194" s="66">
        <v>0.775084</v>
      </c>
      <c r="L194" s="66">
        <v>0.62044600000000005</v>
      </c>
      <c r="M194" s="66">
        <v>233</v>
      </c>
      <c r="N194" s="6" t="str">
        <f t="shared" si="5"/>
        <v>NIE</v>
      </c>
    </row>
    <row r="195" spans="1:20">
      <c r="A195" s="41"/>
      <c r="B195" s="1">
        <v>93</v>
      </c>
      <c r="C195" s="67">
        <v>-0.21</v>
      </c>
      <c r="D195" s="67">
        <v>-0.08</v>
      </c>
      <c r="E195" s="69">
        <v>2.2724899999999998E-16</v>
      </c>
      <c r="F195" s="69">
        <v>1.11022E-16</v>
      </c>
      <c r="G195" s="67">
        <v>0</v>
      </c>
      <c r="H195" s="67">
        <v>196</v>
      </c>
      <c r="I195" s="68" t="str">
        <f t="shared" si="4"/>
        <v>TAK</v>
      </c>
      <c r="J195" s="69">
        <v>5.6956200000000003E-7</v>
      </c>
      <c r="K195" s="69">
        <v>-2.1871200000000001E-7</v>
      </c>
      <c r="L195" s="69">
        <v>1.1841199999999999E-11</v>
      </c>
      <c r="M195" s="67">
        <v>171</v>
      </c>
      <c r="N195" s="6" t="str">
        <f t="shared" si="5"/>
        <v>TAK</v>
      </c>
    </row>
    <row r="196" spans="1:20">
      <c r="A196" s="41"/>
      <c r="B196" s="1">
        <v>94</v>
      </c>
      <c r="C196" s="66">
        <v>0.01</v>
      </c>
      <c r="D196" s="66">
        <v>-0.79</v>
      </c>
      <c r="E196" s="70">
        <v>4.3368099999999997E-18</v>
      </c>
      <c r="F196" s="66">
        <v>-0.77513399999999999</v>
      </c>
      <c r="G196" s="66">
        <v>0.62044600000000005</v>
      </c>
      <c r="H196" s="66">
        <v>100</v>
      </c>
      <c r="I196" s="68" t="str">
        <f t="shared" ref="I196:I259" si="6">IF(AND(E196&gt;-0.1,E196&lt;0.1,F196&gt;-0.1,F196&lt;0.1),"TAK","NIE")</f>
        <v>NIE</v>
      </c>
      <c r="J196" s="70">
        <v>-2.7461300000000003E-7</v>
      </c>
      <c r="K196" s="66">
        <v>-0.775084</v>
      </c>
      <c r="L196" s="66">
        <v>0.62044600000000005</v>
      </c>
      <c r="M196" s="66">
        <v>163</v>
      </c>
      <c r="N196" s="6" t="str">
        <f t="shared" ref="N196:N259" si="7">IF(AND(J196&gt;-0.1,J196&lt;0.1,K196&gt;-0.1,K196&lt;0.1),"TAK","NIE")</f>
        <v>NIE</v>
      </c>
    </row>
    <row r="197" spans="1:20">
      <c r="A197" s="41"/>
      <c r="B197" s="1">
        <v>95</v>
      </c>
      <c r="C197" s="67">
        <v>0.99</v>
      </c>
      <c r="D197" s="67">
        <v>-0.28999999999999998</v>
      </c>
      <c r="E197" s="67">
        <v>0.77513399999999999</v>
      </c>
      <c r="F197" s="69">
        <v>2.2031E-16</v>
      </c>
      <c r="G197" s="67">
        <v>0.62044600000000005</v>
      </c>
      <c r="H197" s="67">
        <v>196</v>
      </c>
      <c r="I197" s="68" t="str">
        <f t="shared" si="6"/>
        <v>NIE</v>
      </c>
      <c r="J197" s="67">
        <v>0.77508299999999997</v>
      </c>
      <c r="K197" s="69">
        <v>4.3279599999999996E-9</v>
      </c>
      <c r="L197" s="67">
        <v>0.62044600000000005</v>
      </c>
      <c r="M197" s="67">
        <v>233</v>
      </c>
      <c r="N197" s="6" t="str">
        <f t="shared" si="7"/>
        <v>NIE</v>
      </c>
    </row>
    <row r="198" spans="1:20">
      <c r="A198" s="41"/>
      <c r="B198" s="1">
        <v>96</v>
      </c>
      <c r="C198" s="66">
        <v>0.49</v>
      </c>
      <c r="D198" s="66">
        <v>-0.17</v>
      </c>
      <c r="E198" s="66">
        <v>0.77513399999999999</v>
      </c>
      <c r="F198" s="70">
        <v>1.14492E-16</v>
      </c>
      <c r="G198" s="66">
        <v>0.62044600000000005</v>
      </c>
      <c r="H198" s="66">
        <v>215</v>
      </c>
      <c r="I198" s="68" t="str">
        <f t="shared" si="6"/>
        <v>NIE</v>
      </c>
      <c r="J198" s="66">
        <v>0.77508500000000002</v>
      </c>
      <c r="K198" s="70">
        <v>-3.6331099999999998E-6</v>
      </c>
      <c r="L198" s="66">
        <v>0.62044600000000005</v>
      </c>
      <c r="M198" s="66">
        <v>115</v>
      </c>
      <c r="N198" s="6" t="str">
        <f t="shared" si="7"/>
        <v>NIE</v>
      </c>
    </row>
    <row r="199" spans="1:20">
      <c r="A199" s="41"/>
      <c r="B199" s="1">
        <v>97</v>
      </c>
      <c r="C199" s="67">
        <v>-0.02</v>
      </c>
      <c r="D199" s="67">
        <v>0</v>
      </c>
      <c r="E199" s="69">
        <v>-1.73472E-18</v>
      </c>
      <c r="F199" s="67">
        <v>0</v>
      </c>
      <c r="G199" s="67">
        <v>0</v>
      </c>
      <c r="H199" s="67">
        <v>85</v>
      </c>
      <c r="I199" s="68" t="str">
        <f t="shared" si="6"/>
        <v>TAK</v>
      </c>
      <c r="J199" s="67">
        <v>4.8003199999999997E-4</v>
      </c>
      <c r="K199" s="67">
        <v>0</v>
      </c>
      <c r="L199" s="69">
        <v>7.3302800000000002E-6</v>
      </c>
      <c r="M199" s="67">
        <v>19</v>
      </c>
      <c r="N199" s="6" t="str">
        <f t="shared" si="7"/>
        <v>TAK</v>
      </c>
    </row>
    <row r="200" spans="1:20">
      <c r="A200" s="41"/>
      <c r="B200" s="1">
        <v>98</v>
      </c>
      <c r="C200" s="66">
        <v>0.12</v>
      </c>
      <c r="D200" s="66">
        <v>-7.0000000000000007E-2</v>
      </c>
      <c r="E200" s="66">
        <v>0</v>
      </c>
      <c r="F200" s="70">
        <v>1.13624E-16</v>
      </c>
      <c r="G200" s="66">
        <v>0</v>
      </c>
      <c r="H200" s="66">
        <v>168</v>
      </c>
      <c r="I200" s="68" t="str">
        <f t="shared" si="6"/>
        <v>TAK</v>
      </c>
      <c r="J200" s="70">
        <v>-1.03157E-7</v>
      </c>
      <c r="K200" s="70">
        <v>-6.7644400000000005E-11</v>
      </c>
      <c r="L200" s="70">
        <v>3.3839600000000002E-13</v>
      </c>
      <c r="M200" s="66">
        <v>233</v>
      </c>
      <c r="N200" s="6" t="str">
        <f t="shared" si="7"/>
        <v>TAK</v>
      </c>
    </row>
    <row r="201" spans="1:20">
      <c r="A201" s="41"/>
      <c r="B201" s="1">
        <v>99</v>
      </c>
      <c r="C201" s="67">
        <v>0.65</v>
      </c>
      <c r="D201" s="67">
        <v>0.51</v>
      </c>
      <c r="E201" s="67">
        <v>0.77513399999999999</v>
      </c>
      <c r="F201" s="67">
        <v>0.77513399999999999</v>
      </c>
      <c r="G201" s="67">
        <v>1.24089</v>
      </c>
      <c r="H201" s="67">
        <v>224</v>
      </c>
      <c r="I201" s="68" t="str">
        <f t="shared" si="6"/>
        <v>NIE</v>
      </c>
      <c r="J201" s="67">
        <v>0.775084</v>
      </c>
      <c r="K201" s="67">
        <v>0.77508299999999997</v>
      </c>
      <c r="L201" s="67">
        <v>1.24089</v>
      </c>
      <c r="M201" s="67">
        <v>179</v>
      </c>
      <c r="N201" s="6" t="str">
        <f t="shared" si="7"/>
        <v>NIE</v>
      </c>
    </row>
    <row r="202" spans="1:20" ht="15.75" thickBot="1">
      <c r="A202" s="44"/>
      <c r="B202" s="22">
        <v>100</v>
      </c>
      <c r="C202" s="66">
        <v>0.76</v>
      </c>
      <c r="D202" s="66">
        <v>0.79</v>
      </c>
      <c r="E202" s="66">
        <v>0.77513399999999999</v>
      </c>
      <c r="F202" s="66">
        <v>0.77513399999999999</v>
      </c>
      <c r="G202" s="66">
        <v>1.24089</v>
      </c>
      <c r="H202" s="66">
        <v>87</v>
      </c>
      <c r="I202" s="68" t="str">
        <f t="shared" si="6"/>
        <v>NIE</v>
      </c>
      <c r="J202" s="66">
        <v>0.77508299999999997</v>
      </c>
      <c r="K202" s="66">
        <v>0.77508299999999997</v>
      </c>
      <c r="L202" s="66">
        <v>1.24089</v>
      </c>
      <c r="M202" s="66">
        <v>193</v>
      </c>
      <c r="N202" s="6" t="str">
        <f t="shared" si="7"/>
        <v>NIE</v>
      </c>
    </row>
    <row r="203" spans="1:20">
      <c r="A203" s="43"/>
      <c r="B203" s="19">
        <v>1</v>
      </c>
      <c r="C203" s="67">
        <v>-0.24</v>
      </c>
      <c r="D203" s="67">
        <v>0.13</v>
      </c>
      <c r="E203" s="67">
        <v>-3.2000000000000001E-2</v>
      </c>
      <c r="F203" s="67">
        <v>-5.7000000000000002E-2</v>
      </c>
      <c r="G203" s="64">
        <v>0.134105</v>
      </c>
      <c r="H203" s="64">
        <v>245</v>
      </c>
      <c r="I203" s="68" t="str">
        <f t="shared" si="6"/>
        <v>TAK</v>
      </c>
      <c r="J203" s="67">
        <v>-1.91825E-3</v>
      </c>
      <c r="K203" s="67">
        <v>-2.1760499999999999E-2</v>
      </c>
      <c r="L203" s="64">
        <v>1.51448E-2</v>
      </c>
      <c r="M203" s="65">
        <v>69</v>
      </c>
      <c r="N203" s="6" t="str">
        <f t="shared" si="7"/>
        <v>TAK</v>
      </c>
      <c r="P203">
        <f>AVERAGEIF(I203:I302,"TAK",E203:E302)</f>
        <v>1.2041666666666666E-2</v>
      </c>
      <c r="Q203">
        <f>AVERAGEIF(I203:I302,"TAK",F203:F302)</f>
        <v>-2.9566666666666661E-2</v>
      </c>
      <c r="R203" s="72">
        <f>AVERAGEIF(I203:I302,"TAK",G203:G302)</f>
        <v>0.11885240700000003</v>
      </c>
      <c r="S203">
        <f>AVERAGEIF(I203:I302,"TAK",H203:H302)</f>
        <v>283.5</v>
      </c>
      <c r="T203">
        <f>COUNTIF(I203:I302,"TAK")</f>
        <v>12</v>
      </c>
    </row>
    <row r="204" spans="1:20">
      <c r="A204" s="41"/>
      <c r="B204" s="1">
        <v>2</v>
      </c>
      <c r="C204" s="66">
        <v>0.81</v>
      </c>
      <c r="D204" s="66">
        <v>-0.91</v>
      </c>
      <c r="E204" s="66">
        <v>0.74780000000000002</v>
      </c>
      <c r="F204" s="66">
        <v>-0.77239999999999998</v>
      </c>
      <c r="G204" s="66">
        <v>1.2639400000000001</v>
      </c>
      <c r="H204" s="66">
        <v>186</v>
      </c>
      <c r="I204" s="68" t="str">
        <f t="shared" si="6"/>
        <v>NIE</v>
      </c>
      <c r="J204" s="66">
        <v>0.79555200000000004</v>
      </c>
      <c r="K204" s="66">
        <v>-0.76552100000000001</v>
      </c>
      <c r="L204" s="66">
        <v>1.25691</v>
      </c>
      <c r="M204" s="66">
        <v>29</v>
      </c>
      <c r="N204" s="6" t="str">
        <f t="shared" si="7"/>
        <v>NIE</v>
      </c>
    </row>
    <row r="205" spans="1:20">
      <c r="A205" s="41"/>
      <c r="B205" s="1">
        <v>3</v>
      </c>
      <c r="C205" s="67">
        <v>-0.91</v>
      </c>
      <c r="D205" s="67">
        <v>0.93</v>
      </c>
      <c r="E205" s="67">
        <v>-0.76270000000000004</v>
      </c>
      <c r="F205" s="67">
        <v>0.78149999999999997</v>
      </c>
      <c r="G205" s="67">
        <v>1.2469300000000001</v>
      </c>
      <c r="H205" s="67">
        <v>224</v>
      </c>
      <c r="I205" s="68" t="str">
        <f t="shared" si="6"/>
        <v>NIE</v>
      </c>
      <c r="J205" s="67">
        <v>-0.77506699999999995</v>
      </c>
      <c r="K205" s="67">
        <v>0.77508200000000005</v>
      </c>
      <c r="L205" s="67">
        <v>1.24089</v>
      </c>
      <c r="M205" s="67">
        <v>135</v>
      </c>
      <c r="N205" s="6" t="str">
        <f t="shared" si="7"/>
        <v>NIE</v>
      </c>
    </row>
    <row r="206" spans="1:20">
      <c r="A206" s="41"/>
      <c r="B206" s="1">
        <v>4</v>
      </c>
      <c r="C206" s="66">
        <v>-0.34</v>
      </c>
      <c r="D206" s="66">
        <v>0.91</v>
      </c>
      <c r="E206" s="66">
        <v>-2.4E-2</v>
      </c>
      <c r="F206" s="66">
        <v>0.67520000000000002</v>
      </c>
      <c r="G206" s="66">
        <v>0.91952500000000004</v>
      </c>
      <c r="H206" s="66">
        <v>291</v>
      </c>
      <c r="I206" s="68" t="str">
        <f t="shared" si="6"/>
        <v>NIE</v>
      </c>
      <c r="J206" s="66">
        <v>-5.10196E-3</v>
      </c>
      <c r="K206" s="66">
        <v>0.74855799999999995</v>
      </c>
      <c r="L206" s="66">
        <v>0.64285700000000001</v>
      </c>
      <c r="M206" s="66">
        <v>69</v>
      </c>
      <c r="N206" s="6" t="str">
        <f t="shared" si="7"/>
        <v>NIE</v>
      </c>
      <c r="P206">
        <f>AVERAGEIF(N203:N302,"TAK",J203:J302)</f>
        <v>-7.7938751863727276E-3</v>
      </c>
      <c r="Q206">
        <f>AVERAGEIF(N203:N302,"TAK",K203:K302)</f>
        <v>7.6843505141727256E-3</v>
      </c>
      <c r="R206">
        <f>AVERAGEIF(N203:N302,"TAK",L203:L302)</f>
        <v>4.8179317809134072E-2</v>
      </c>
      <c r="S206">
        <f>AVERAGEIF(N203:N302,"TAK",M203:M302)</f>
        <v>82.090909090909093</v>
      </c>
      <c r="T206">
        <f>COUNTIF(N203:N302,"TAK")</f>
        <v>11</v>
      </c>
    </row>
    <row r="207" spans="1:20">
      <c r="A207" s="41"/>
      <c r="B207" s="1">
        <v>5</v>
      </c>
      <c r="C207" s="67">
        <v>0.46</v>
      </c>
      <c r="D207" s="67">
        <v>-0.1</v>
      </c>
      <c r="E207" s="67">
        <v>0.7681</v>
      </c>
      <c r="F207" s="67">
        <v>8.9099999999999999E-2</v>
      </c>
      <c r="G207" s="67">
        <v>0.86469499999999999</v>
      </c>
      <c r="H207" s="67">
        <v>273</v>
      </c>
      <c r="I207" s="68" t="str">
        <f t="shared" si="6"/>
        <v>NIE</v>
      </c>
      <c r="J207" s="67">
        <v>0.77508500000000002</v>
      </c>
      <c r="K207" s="69">
        <v>-3.02743E-7</v>
      </c>
      <c r="L207" s="67">
        <v>0.62044600000000005</v>
      </c>
      <c r="M207" s="67">
        <v>149</v>
      </c>
      <c r="N207" s="6" t="str">
        <f t="shared" si="7"/>
        <v>NIE</v>
      </c>
    </row>
    <row r="208" spans="1:20">
      <c r="A208" s="41"/>
      <c r="B208" s="1">
        <v>6</v>
      </c>
      <c r="C208" s="66">
        <v>0.87</v>
      </c>
      <c r="D208" s="66">
        <v>-0.55000000000000004</v>
      </c>
      <c r="E208" s="66">
        <v>0.71040000000000003</v>
      </c>
      <c r="F208" s="66">
        <v>-0.75160000000000005</v>
      </c>
      <c r="G208" s="66">
        <v>1.3814599999999999</v>
      </c>
      <c r="H208" s="66">
        <v>299</v>
      </c>
      <c r="I208" s="68" t="str">
        <f t="shared" si="6"/>
        <v>NIE</v>
      </c>
      <c r="J208" s="66">
        <v>0.87</v>
      </c>
      <c r="K208" s="66">
        <v>-0.55000000000000004</v>
      </c>
      <c r="L208" s="66">
        <v>2.5896599999999999</v>
      </c>
      <c r="M208" s="66">
        <v>3</v>
      </c>
      <c r="N208" s="6" t="str">
        <f t="shared" si="7"/>
        <v>NIE</v>
      </c>
    </row>
    <row r="209" spans="1:14">
      <c r="A209" s="41"/>
      <c r="B209" s="1">
        <v>7</v>
      </c>
      <c r="C209" s="67">
        <v>-0.3</v>
      </c>
      <c r="D209" s="67">
        <v>0.12</v>
      </c>
      <c r="E209" s="67">
        <v>-2.2499999999999999E-2</v>
      </c>
      <c r="F209" s="67">
        <v>-8.7300000000000003E-2</v>
      </c>
      <c r="G209" s="67">
        <v>0.24945899999999999</v>
      </c>
      <c r="H209" s="67">
        <v>273</v>
      </c>
      <c r="I209" s="68" t="str">
        <f t="shared" si="6"/>
        <v>TAK</v>
      </c>
      <c r="J209" s="69">
        <v>1.0701399999999999E-8</v>
      </c>
      <c r="K209" s="69">
        <v>1.1759800000000001E-7</v>
      </c>
      <c r="L209" s="69">
        <v>4.4364500000000002E-13</v>
      </c>
      <c r="M209" s="67">
        <v>209</v>
      </c>
      <c r="N209" s="6" t="str">
        <f t="shared" si="7"/>
        <v>TAK</v>
      </c>
    </row>
    <row r="210" spans="1:14">
      <c r="A210" s="41"/>
      <c r="B210" s="1">
        <v>8</v>
      </c>
      <c r="C210" s="66">
        <v>0.35</v>
      </c>
      <c r="D210" s="66">
        <v>0.19</v>
      </c>
      <c r="E210" s="66">
        <v>4.19E-2</v>
      </c>
      <c r="F210" s="66">
        <v>-8.7499999999999994E-2</v>
      </c>
      <c r="G210" s="66">
        <v>0.28978700000000002</v>
      </c>
      <c r="H210" s="66">
        <v>377</v>
      </c>
      <c r="I210" s="68" t="str">
        <f t="shared" si="6"/>
        <v>TAK</v>
      </c>
      <c r="J210" s="66">
        <v>0.35</v>
      </c>
      <c r="K210" s="66">
        <v>0.19</v>
      </c>
      <c r="L210" s="66">
        <v>3.0027300000000001</v>
      </c>
      <c r="M210" s="66">
        <v>3</v>
      </c>
      <c r="N210" s="6" t="str">
        <f t="shared" si="7"/>
        <v>NIE</v>
      </c>
    </row>
    <row r="211" spans="1:14">
      <c r="A211" s="41"/>
      <c r="B211" s="1">
        <v>9</v>
      </c>
      <c r="C211" s="67">
        <v>-0.45</v>
      </c>
      <c r="D211" s="67">
        <v>-0.77</v>
      </c>
      <c r="E211" s="67">
        <v>-0.77400000000000002</v>
      </c>
      <c r="F211" s="67">
        <v>-0.77510000000000001</v>
      </c>
      <c r="G211" s="67">
        <v>1.2409300000000001</v>
      </c>
      <c r="H211" s="67">
        <v>377</v>
      </c>
      <c r="I211" s="68" t="str">
        <f t="shared" si="6"/>
        <v>NIE</v>
      </c>
      <c r="J211" s="67">
        <v>-0.45</v>
      </c>
      <c r="K211" s="67">
        <v>-0.77</v>
      </c>
      <c r="L211" s="67">
        <v>2.74831</v>
      </c>
      <c r="M211" s="67">
        <v>3</v>
      </c>
      <c r="N211" s="6" t="str">
        <f t="shared" si="7"/>
        <v>NIE</v>
      </c>
    </row>
    <row r="212" spans="1:14">
      <c r="A212" s="41"/>
      <c r="B212" s="1">
        <v>10</v>
      </c>
      <c r="C212" s="66">
        <v>0.81</v>
      </c>
      <c r="D212" s="66">
        <v>-0.23</v>
      </c>
      <c r="E212" s="66">
        <v>0.76459999999999995</v>
      </c>
      <c r="F212" s="66">
        <v>4.4000000000000003E-3</v>
      </c>
      <c r="G212" s="66">
        <v>0.624471</v>
      </c>
      <c r="H212" s="66">
        <v>234</v>
      </c>
      <c r="I212" s="68" t="str">
        <f t="shared" si="6"/>
        <v>NIE</v>
      </c>
      <c r="J212" s="66">
        <v>0.78398400000000001</v>
      </c>
      <c r="K212" s="66">
        <v>3.0162100000000001E-2</v>
      </c>
      <c r="L212" s="66">
        <v>0.65173800000000004</v>
      </c>
      <c r="M212" s="66">
        <v>31</v>
      </c>
      <c r="N212" s="6" t="str">
        <f t="shared" si="7"/>
        <v>NIE</v>
      </c>
    </row>
    <row r="213" spans="1:14">
      <c r="A213" s="41"/>
      <c r="B213" s="1">
        <v>11</v>
      </c>
      <c r="C213" s="67">
        <v>0.71</v>
      </c>
      <c r="D213" s="67">
        <v>-0.63</v>
      </c>
      <c r="E213" s="67">
        <v>0.8135</v>
      </c>
      <c r="F213" s="67">
        <v>-0.75749999999999995</v>
      </c>
      <c r="G213" s="67">
        <v>1.29705</v>
      </c>
      <c r="H213" s="67">
        <v>220</v>
      </c>
      <c r="I213" s="68" t="str">
        <f t="shared" si="6"/>
        <v>NIE</v>
      </c>
      <c r="J213" s="67">
        <v>0.77543200000000001</v>
      </c>
      <c r="K213" s="67">
        <v>-0.77511099999999999</v>
      </c>
      <c r="L213" s="67">
        <v>1.2408999999999999</v>
      </c>
      <c r="M213" s="67">
        <v>101</v>
      </c>
      <c r="N213" s="6" t="str">
        <f t="shared" si="7"/>
        <v>NIE</v>
      </c>
    </row>
    <row r="214" spans="1:14">
      <c r="A214" s="41"/>
      <c r="B214" s="1">
        <v>12</v>
      </c>
      <c r="C214" s="66">
        <v>-0.47</v>
      </c>
      <c r="D214" s="66">
        <v>-1</v>
      </c>
      <c r="E214" s="66">
        <v>-0.74009999999999998</v>
      </c>
      <c r="F214" s="66">
        <v>-0.73550000000000004</v>
      </c>
      <c r="G214" s="66">
        <v>1.3257000000000001</v>
      </c>
      <c r="H214" s="66">
        <v>304</v>
      </c>
      <c r="I214" s="68" t="str">
        <f t="shared" si="6"/>
        <v>NIE</v>
      </c>
      <c r="J214" s="66">
        <v>-0.49601600000000001</v>
      </c>
      <c r="K214" s="66">
        <v>-0.739838</v>
      </c>
      <c r="L214" s="66">
        <v>2.6345399999999999</v>
      </c>
      <c r="M214" s="66">
        <v>31</v>
      </c>
      <c r="N214" s="6" t="str">
        <f t="shared" si="7"/>
        <v>NIE</v>
      </c>
    </row>
    <row r="215" spans="1:14">
      <c r="A215" s="41"/>
      <c r="B215" s="1">
        <v>13</v>
      </c>
      <c r="C215" s="67">
        <v>0.1</v>
      </c>
      <c r="D215" s="67">
        <v>-0.57999999999999996</v>
      </c>
      <c r="E215" s="67">
        <v>-5.0099999999999999E-2</v>
      </c>
      <c r="F215" s="67">
        <v>-0.75109999999999999</v>
      </c>
      <c r="G215" s="67">
        <v>0.71697999999999995</v>
      </c>
      <c r="H215" s="67">
        <v>280</v>
      </c>
      <c r="I215" s="68" t="str">
        <f t="shared" si="6"/>
        <v>NIE</v>
      </c>
      <c r="J215" s="67">
        <v>0.1</v>
      </c>
      <c r="K215" s="67">
        <v>-0.57999999999999996</v>
      </c>
      <c r="L215" s="67">
        <v>1.7977300000000001</v>
      </c>
      <c r="M215" s="67">
        <v>3</v>
      </c>
      <c r="N215" s="6" t="str">
        <f t="shared" si="7"/>
        <v>NIE</v>
      </c>
    </row>
    <row r="216" spans="1:14">
      <c r="A216" s="41"/>
      <c r="B216" s="1">
        <v>14</v>
      </c>
      <c r="C216" s="66">
        <v>-0.1</v>
      </c>
      <c r="D216" s="66">
        <v>-0.45</v>
      </c>
      <c r="E216" s="66">
        <v>0.09</v>
      </c>
      <c r="F216" s="66">
        <v>-0.76600000000000001</v>
      </c>
      <c r="G216" s="66">
        <v>0.87046900000000005</v>
      </c>
      <c r="H216" s="66">
        <v>356</v>
      </c>
      <c r="I216" s="68" t="str">
        <f t="shared" si="6"/>
        <v>NIE</v>
      </c>
      <c r="J216" s="66">
        <v>2.0467200000000001E-3</v>
      </c>
      <c r="K216" s="66">
        <v>-0.77506299999999995</v>
      </c>
      <c r="L216" s="66">
        <v>0.62057899999999999</v>
      </c>
      <c r="M216" s="66">
        <v>143</v>
      </c>
      <c r="N216" s="6" t="str">
        <f t="shared" si="7"/>
        <v>NIE</v>
      </c>
    </row>
    <row r="217" spans="1:14">
      <c r="A217" s="41"/>
      <c r="B217" s="1">
        <v>15</v>
      </c>
      <c r="C217" s="67">
        <v>0.03</v>
      </c>
      <c r="D217" s="67">
        <v>0.02</v>
      </c>
      <c r="E217" s="67">
        <v>2.3999999999999998E-3</v>
      </c>
      <c r="F217" s="67">
        <v>-5.5999999999999999E-3</v>
      </c>
      <c r="G217" s="67">
        <v>1.18067E-3</v>
      </c>
      <c r="H217" s="67">
        <v>115</v>
      </c>
      <c r="I217" s="68" t="str">
        <f t="shared" si="6"/>
        <v>TAK</v>
      </c>
      <c r="J217" s="67">
        <v>0.03</v>
      </c>
      <c r="K217" s="67">
        <v>0.02</v>
      </c>
      <c r="L217" s="67">
        <v>4.1201399999999999E-2</v>
      </c>
      <c r="M217" s="67">
        <v>3</v>
      </c>
      <c r="N217" s="6" t="str">
        <f t="shared" si="7"/>
        <v>TAK</v>
      </c>
    </row>
    <row r="218" spans="1:14">
      <c r="A218" s="41"/>
      <c r="B218" s="1">
        <v>16</v>
      </c>
      <c r="C218" s="66">
        <v>-0.08</v>
      </c>
      <c r="D218" s="66">
        <v>0.79</v>
      </c>
      <c r="E218" s="66">
        <v>1.8E-3</v>
      </c>
      <c r="F218" s="66">
        <v>0.76800000000000002</v>
      </c>
      <c r="G218" s="66">
        <v>0.62210900000000002</v>
      </c>
      <c r="H218" s="66">
        <v>141</v>
      </c>
      <c r="I218" s="68" t="str">
        <f t="shared" si="6"/>
        <v>NIE</v>
      </c>
      <c r="J218" s="70">
        <v>3.2262899999999997E-8</v>
      </c>
      <c r="K218" s="66">
        <v>0.77508299999999997</v>
      </c>
      <c r="L218" s="66">
        <v>0.62044600000000005</v>
      </c>
      <c r="M218" s="66">
        <v>129</v>
      </c>
      <c r="N218" s="6" t="str">
        <f t="shared" si="7"/>
        <v>NIE</v>
      </c>
    </row>
    <row r="219" spans="1:14">
      <c r="A219" s="41"/>
      <c r="B219" s="1">
        <v>17</v>
      </c>
      <c r="C219" s="67">
        <v>-0.84</v>
      </c>
      <c r="D219" s="67">
        <v>-0.26</v>
      </c>
      <c r="E219" s="67">
        <v>-0.71779999999999999</v>
      </c>
      <c r="F219" s="67">
        <v>2.5999999999999999E-3</v>
      </c>
      <c r="G219" s="67">
        <v>0.71843400000000002</v>
      </c>
      <c r="H219" s="67">
        <v>259</v>
      </c>
      <c r="I219" s="68" t="str">
        <f t="shared" si="6"/>
        <v>NIE</v>
      </c>
      <c r="J219" s="67">
        <v>-0.77507999999999999</v>
      </c>
      <c r="K219" s="69">
        <v>4.9048E-6</v>
      </c>
      <c r="L219" s="67">
        <v>0.62044600000000005</v>
      </c>
      <c r="M219" s="67">
        <v>123</v>
      </c>
      <c r="N219" s="6" t="str">
        <f t="shared" si="7"/>
        <v>NIE</v>
      </c>
    </row>
    <row r="220" spans="1:14">
      <c r="A220" s="41"/>
      <c r="B220" s="1">
        <v>18</v>
      </c>
      <c r="C220" s="66">
        <v>0.88</v>
      </c>
      <c r="D220" s="66">
        <v>-0.75</v>
      </c>
      <c r="E220" s="66">
        <v>0.77210000000000001</v>
      </c>
      <c r="F220" s="66">
        <v>-0.79310000000000003</v>
      </c>
      <c r="G220" s="66">
        <v>1.2513799999999999</v>
      </c>
      <c r="H220" s="66">
        <v>207</v>
      </c>
      <c r="I220" s="68" t="str">
        <f t="shared" si="6"/>
        <v>NIE</v>
      </c>
      <c r="J220" s="66">
        <v>0.88</v>
      </c>
      <c r="K220" s="66">
        <v>-0.75</v>
      </c>
      <c r="L220" s="66">
        <v>1.6031</v>
      </c>
      <c r="M220" s="66">
        <v>3</v>
      </c>
      <c r="N220" s="6" t="str">
        <f t="shared" si="7"/>
        <v>NIE</v>
      </c>
    </row>
    <row r="221" spans="1:14">
      <c r="A221" s="41"/>
      <c r="B221" s="1">
        <v>19</v>
      </c>
      <c r="C221" s="67">
        <v>-0.81</v>
      </c>
      <c r="D221" s="67">
        <v>-0.93</v>
      </c>
      <c r="E221" s="67">
        <v>-0.74960000000000004</v>
      </c>
      <c r="F221" s="67">
        <v>-0.77059999999999995</v>
      </c>
      <c r="G221" s="67">
        <v>1.26145</v>
      </c>
      <c r="H221" s="67">
        <v>205</v>
      </c>
      <c r="I221" s="68" t="str">
        <f t="shared" si="6"/>
        <v>NIE</v>
      </c>
      <c r="J221" s="67">
        <v>-0.775084</v>
      </c>
      <c r="K221" s="67">
        <v>-0.77505500000000005</v>
      </c>
      <c r="L221" s="67">
        <v>1.24089</v>
      </c>
      <c r="M221" s="67">
        <v>77</v>
      </c>
      <c r="N221" s="6" t="str">
        <f t="shared" si="7"/>
        <v>NIE</v>
      </c>
    </row>
    <row r="222" spans="1:14">
      <c r="A222" s="41"/>
      <c r="B222" s="1">
        <v>20</v>
      </c>
      <c r="C222" s="66">
        <v>0.68</v>
      </c>
      <c r="D222" s="66">
        <v>0.65</v>
      </c>
      <c r="E222" s="66">
        <v>0.79079999999999995</v>
      </c>
      <c r="F222" s="66">
        <v>0.76280000000000003</v>
      </c>
      <c r="G222" s="66">
        <v>1.2533300000000001</v>
      </c>
      <c r="H222" s="66">
        <v>149</v>
      </c>
      <c r="I222" s="68" t="str">
        <f t="shared" si="6"/>
        <v>NIE</v>
      </c>
      <c r="J222" s="66">
        <v>0.76021099999999997</v>
      </c>
      <c r="K222" s="66">
        <v>0.79447900000000005</v>
      </c>
      <c r="L222" s="66">
        <v>1.2595700000000001</v>
      </c>
      <c r="M222" s="66">
        <v>29</v>
      </c>
      <c r="N222" s="6" t="str">
        <f t="shared" si="7"/>
        <v>NIE</v>
      </c>
    </row>
    <row r="223" spans="1:14">
      <c r="A223" s="41"/>
      <c r="B223" s="1">
        <v>21</v>
      </c>
      <c r="C223" s="67">
        <v>-0.03</v>
      </c>
      <c r="D223" s="67">
        <v>0.56000000000000005</v>
      </c>
      <c r="E223" s="67">
        <v>1.0500000000000001E-2</v>
      </c>
      <c r="F223" s="67">
        <v>0.78090000000000004</v>
      </c>
      <c r="G223" s="67">
        <v>0.62500999999999995</v>
      </c>
      <c r="H223" s="67">
        <v>246</v>
      </c>
      <c r="I223" s="68" t="str">
        <f t="shared" si="6"/>
        <v>NIE</v>
      </c>
      <c r="J223" s="67">
        <v>-4.1320000000000003E-3</v>
      </c>
      <c r="K223" s="67">
        <v>0.82016199999999995</v>
      </c>
      <c r="L223" s="67">
        <v>0.68521100000000001</v>
      </c>
      <c r="M223" s="67">
        <v>31</v>
      </c>
      <c r="N223" s="6" t="str">
        <f t="shared" si="7"/>
        <v>NIE</v>
      </c>
    </row>
    <row r="224" spans="1:14">
      <c r="A224" s="41"/>
      <c r="B224" s="1">
        <v>22</v>
      </c>
      <c r="C224" s="66">
        <v>0.62</v>
      </c>
      <c r="D224" s="66">
        <v>0.67</v>
      </c>
      <c r="E224" s="66">
        <v>0.75780000000000003</v>
      </c>
      <c r="F224" s="66">
        <v>0.80220000000000002</v>
      </c>
      <c r="G224" s="66">
        <v>1.2733000000000001</v>
      </c>
      <c r="H224" s="66">
        <v>167</v>
      </c>
      <c r="I224" s="68" t="str">
        <f t="shared" si="6"/>
        <v>NIE</v>
      </c>
      <c r="J224" s="66">
        <v>0.77542699999999998</v>
      </c>
      <c r="K224" s="66">
        <v>0.77715599999999996</v>
      </c>
      <c r="L224" s="66">
        <v>1.2410300000000001</v>
      </c>
      <c r="M224" s="66">
        <v>57</v>
      </c>
      <c r="N224" s="6" t="str">
        <f t="shared" si="7"/>
        <v>NIE</v>
      </c>
    </row>
    <row r="225" spans="1:14">
      <c r="A225" s="41"/>
      <c r="B225" s="1">
        <v>23</v>
      </c>
      <c r="C225" s="67">
        <v>-0.8</v>
      </c>
      <c r="D225" s="67">
        <v>-0.5</v>
      </c>
      <c r="E225" s="67">
        <v>-0.79049999999999998</v>
      </c>
      <c r="F225" s="67">
        <v>-0.77729999999999999</v>
      </c>
      <c r="G225" s="67">
        <v>1.24851</v>
      </c>
      <c r="H225" s="67">
        <v>338</v>
      </c>
      <c r="I225" s="68" t="str">
        <f t="shared" si="6"/>
        <v>NIE</v>
      </c>
      <c r="J225" s="67">
        <v>-0.77508600000000005</v>
      </c>
      <c r="K225" s="67">
        <v>-0.77508299999999997</v>
      </c>
      <c r="L225" s="67">
        <v>1.24089</v>
      </c>
      <c r="M225" s="67">
        <v>195</v>
      </c>
      <c r="N225" s="6" t="str">
        <f t="shared" si="7"/>
        <v>NIE</v>
      </c>
    </row>
    <row r="226" spans="1:14">
      <c r="A226" s="41"/>
      <c r="B226" s="1">
        <v>24</v>
      </c>
      <c r="C226" s="66">
        <v>-0.13</v>
      </c>
      <c r="D226" s="66">
        <v>-0.72</v>
      </c>
      <c r="E226" s="66">
        <v>-1.24E-2</v>
      </c>
      <c r="F226" s="66">
        <v>-0.81040000000000001</v>
      </c>
      <c r="G226" s="66">
        <v>0.66471199999999997</v>
      </c>
      <c r="H226" s="66">
        <v>179</v>
      </c>
      <c r="I226" s="68" t="str">
        <f t="shared" si="6"/>
        <v>NIE</v>
      </c>
      <c r="J226" s="70">
        <v>-6.4489500000000007E-5</v>
      </c>
      <c r="K226" s="66">
        <v>-0.77506600000000003</v>
      </c>
      <c r="L226" s="66">
        <v>0.62044600000000005</v>
      </c>
      <c r="M226" s="66">
        <v>131</v>
      </c>
      <c r="N226" s="6" t="str">
        <f t="shared" si="7"/>
        <v>NIE</v>
      </c>
    </row>
    <row r="227" spans="1:14">
      <c r="A227" s="41"/>
      <c r="B227" s="1">
        <v>25</v>
      </c>
      <c r="C227" s="67">
        <v>-0.27</v>
      </c>
      <c r="D227" s="67">
        <v>-0.8</v>
      </c>
      <c r="E227" s="69">
        <v>-2.6900400000000001E-14</v>
      </c>
      <c r="F227" s="67">
        <v>-0.78990000000000005</v>
      </c>
      <c r="G227" s="67">
        <v>0.62734100000000004</v>
      </c>
      <c r="H227" s="67">
        <v>264</v>
      </c>
      <c r="I227" s="68" t="str">
        <f t="shared" si="6"/>
        <v>NIE</v>
      </c>
      <c r="J227" s="69">
        <v>1.03927E-5</v>
      </c>
      <c r="K227" s="67">
        <v>-0.77518100000000001</v>
      </c>
      <c r="L227" s="67">
        <v>0.62044600000000005</v>
      </c>
      <c r="M227" s="67">
        <v>93</v>
      </c>
      <c r="N227" s="6" t="str">
        <f t="shared" si="7"/>
        <v>NIE</v>
      </c>
    </row>
    <row r="228" spans="1:14">
      <c r="A228" s="41"/>
      <c r="B228" s="1">
        <v>26</v>
      </c>
      <c r="C228" s="66">
        <v>0.05</v>
      </c>
      <c r="D228" s="66">
        <v>0.97</v>
      </c>
      <c r="E228" s="66">
        <v>-4.6100000000000002E-2</v>
      </c>
      <c r="F228" s="66">
        <v>0.77490000000000003</v>
      </c>
      <c r="G228" s="66">
        <v>0.68734099999999998</v>
      </c>
      <c r="H228" s="66">
        <v>281</v>
      </c>
      <c r="I228" s="68" t="str">
        <f t="shared" si="6"/>
        <v>NIE</v>
      </c>
      <c r="J228" s="66">
        <v>0.05</v>
      </c>
      <c r="K228" s="66">
        <v>0.97</v>
      </c>
      <c r="L228" s="66">
        <v>1.7822499999999999</v>
      </c>
      <c r="M228" s="66">
        <v>3</v>
      </c>
      <c r="N228" s="6" t="str">
        <f t="shared" si="7"/>
        <v>NIE</v>
      </c>
    </row>
    <row r="229" spans="1:14">
      <c r="A229" s="41"/>
      <c r="B229" s="1">
        <v>27</v>
      </c>
      <c r="C229" s="67">
        <v>-0.91</v>
      </c>
      <c r="D229" s="67">
        <v>0.1</v>
      </c>
      <c r="E229" s="67">
        <v>-0.78749999999999998</v>
      </c>
      <c r="F229" s="67">
        <v>-1.95E-2</v>
      </c>
      <c r="G229" s="67">
        <v>0.63735699999999995</v>
      </c>
      <c r="H229" s="67">
        <v>194</v>
      </c>
      <c r="I229" s="68" t="str">
        <f t="shared" si="6"/>
        <v>NIE</v>
      </c>
      <c r="J229" s="67">
        <v>-0.775088</v>
      </c>
      <c r="K229" s="69">
        <v>3.6163500000000002E-7</v>
      </c>
      <c r="L229" s="67">
        <v>0.62044600000000005</v>
      </c>
      <c r="M229" s="67">
        <v>163</v>
      </c>
      <c r="N229" s="6" t="str">
        <f t="shared" si="7"/>
        <v>NIE</v>
      </c>
    </row>
    <row r="230" spans="1:14">
      <c r="A230" s="41"/>
      <c r="B230" s="1">
        <v>28</v>
      </c>
      <c r="C230" s="66">
        <v>0.49</v>
      </c>
      <c r="D230" s="66">
        <v>0.19</v>
      </c>
      <c r="E230" s="66">
        <v>0.73850000000000005</v>
      </c>
      <c r="F230" s="66">
        <v>-4.9500000000000002E-2</v>
      </c>
      <c r="G230" s="66">
        <v>0.73815600000000003</v>
      </c>
      <c r="H230" s="66">
        <v>274</v>
      </c>
      <c r="I230" s="68" t="str">
        <f t="shared" si="6"/>
        <v>NIE</v>
      </c>
      <c r="J230" s="66">
        <v>0.77509600000000001</v>
      </c>
      <c r="K230" s="70">
        <v>1.17859E-5</v>
      </c>
      <c r="L230" s="66">
        <v>0.62044600000000005</v>
      </c>
      <c r="M230" s="66">
        <v>193</v>
      </c>
      <c r="N230" s="6" t="str">
        <f t="shared" si="7"/>
        <v>NIE</v>
      </c>
    </row>
    <row r="231" spans="1:14">
      <c r="A231" s="41"/>
      <c r="B231" s="1">
        <v>29</v>
      </c>
      <c r="C231" s="67">
        <v>0.53</v>
      </c>
      <c r="D231" s="67">
        <v>-0.61</v>
      </c>
      <c r="E231" s="67">
        <v>0.74450000000000005</v>
      </c>
      <c r="F231" s="67">
        <v>-0.8155</v>
      </c>
      <c r="G231" s="67">
        <v>1.3210999999999999</v>
      </c>
      <c r="H231" s="67">
        <v>254</v>
      </c>
      <c r="I231" s="68" t="str">
        <f t="shared" si="6"/>
        <v>NIE</v>
      </c>
      <c r="J231" s="67">
        <v>0.77512400000000004</v>
      </c>
      <c r="K231" s="67">
        <v>-0.77507700000000002</v>
      </c>
      <c r="L231" s="67">
        <v>1.24089</v>
      </c>
      <c r="M231" s="67">
        <v>101</v>
      </c>
      <c r="N231" s="6" t="str">
        <f t="shared" si="7"/>
        <v>NIE</v>
      </c>
    </row>
    <row r="232" spans="1:14">
      <c r="A232" s="41"/>
      <c r="B232" s="1">
        <v>30</v>
      </c>
      <c r="C232" s="66">
        <v>0.26</v>
      </c>
      <c r="D232" s="66">
        <v>-0.44</v>
      </c>
      <c r="E232" s="66">
        <v>-3.61E-2</v>
      </c>
      <c r="F232" s="66">
        <v>-0.74029999999999996</v>
      </c>
      <c r="G232" s="66">
        <v>0.69849499999999998</v>
      </c>
      <c r="H232" s="66">
        <v>383</v>
      </c>
      <c r="I232" s="68" t="str">
        <f t="shared" si="6"/>
        <v>NIE</v>
      </c>
      <c r="J232" s="66">
        <v>0.26</v>
      </c>
      <c r="K232" s="66">
        <v>-0.44</v>
      </c>
      <c r="L232" s="66">
        <v>3.6658599999999999</v>
      </c>
      <c r="M232" s="66">
        <v>3</v>
      </c>
      <c r="N232" s="6" t="str">
        <f t="shared" si="7"/>
        <v>NIE</v>
      </c>
    </row>
    <row r="233" spans="1:14">
      <c r="A233" s="41"/>
      <c r="B233" s="1">
        <v>31</v>
      </c>
      <c r="C233" s="67">
        <v>0.42</v>
      </c>
      <c r="D233" s="67">
        <v>-0.81</v>
      </c>
      <c r="E233" s="67">
        <v>0.76859999999999995</v>
      </c>
      <c r="F233" s="67">
        <v>-0.79259999999999997</v>
      </c>
      <c r="G233" s="67">
        <v>1.2518400000000001</v>
      </c>
      <c r="H233" s="67">
        <v>301</v>
      </c>
      <c r="I233" s="68" t="str">
        <f t="shared" si="6"/>
        <v>NIE</v>
      </c>
      <c r="J233" s="67">
        <v>0.77539000000000002</v>
      </c>
      <c r="K233" s="67">
        <v>-0.77747599999999994</v>
      </c>
      <c r="L233" s="67">
        <v>1.2410699999999999</v>
      </c>
      <c r="M233" s="67">
        <v>101</v>
      </c>
      <c r="N233" s="6" t="str">
        <f t="shared" si="7"/>
        <v>NIE</v>
      </c>
    </row>
    <row r="234" spans="1:14">
      <c r="A234" s="41"/>
      <c r="B234" s="1">
        <v>32</v>
      </c>
      <c r="C234" s="66">
        <v>-0.65</v>
      </c>
      <c r="D234" s="66">
        <v>0.57999999999999996</v>
      </c>
      <c r="E234" s="66">
        <v>-0.81210000000000004</v>
      </c>
      <c r="F234" s="66">
        <v>0.75109999999999999</v>
      </c>
      <c r="G234" s="66">
        <v>1.3018400000000001</v>
      </c>
      <c r="H234" s="66">
        <v>226</v>
      </c>
      <c r="I234" s="68" t="str">
        <f t="shared" si="6"/>
        <v>NIE</v>
      </c>
      <c r="J234" s="66">
        <v>-0.78225599999999995</v>
      </c>
      <c r="K234" s="66">
        <v>0.77252600000000005</v>
      </c>
      <c r="L234" s="66">
        <v>1.24271</v>
      </c>
      <c r="M234" s="66">
        <v>109</v>
      </c>
      <c r="N234" s="6" t="str">
        <f t="shared" si="7"/>
        <v>NIE</v>
      </c>
    </row>
    <row r="235" spans="1:14">
      <c r="A235" s="41"/>
      <c r="B235" s="1">
        <v>33</v>
      </c>
      <c r="C235" s="67">
        <v>-0.55000000000000004</v>
      </c>
      <c r="D235" s="67">
        <v>0.75</v>
      </c>
      <c r="E235" s="67">
        <v>-0.77110000000000001</v>
      </c>
      <c r="F235" s="67">
        <v>0.7671</v>
      </c>
      <c r="G235" s="67">
        <v>1.2433700000000001</v>
      </c>
      <c r="H235" s="67">
        <v>307</v>
      </c>
      <c r="I235" s="68" t="str">
        <f t="shared" si="6"/>
        <v>NIE</v>
      </c>
      <c r="J235" s="67">
        <v>-0.77512999999999999</v>
      </c>
      <c r="K235" s="67">
        <v>0.77588800000000002</v>
      </c>
      <c r="L235" s="67">
        <v>1.24091</v>
      </c>
      <c r="M235" s="67">
        <v>183</v>
      </c>
      <c r="N235" s="6" t="str">
        <f t="shared" si="7"/>
        <v>NIE</v>
      </c>
    </row>
    <row r="236" spans="1:14">
      <c r="A236" s="41"/>
      <c r="B236" s="1">
        <v>34</v>
      </c>
      <c r="C236" s="66">
        <v>0.83</v>
      </c>
      <c r="D236" s="66">
        <v>-0.36</v>
      </c>
      <c r="E236" s="66">
        <v>0.75070000000000003</v>
      </c>
      <c r="F236" s="66">
        <v>5.3E-3</v>
      </c>
      <c r="G236" s="66">
        <v>0.63960700000000004</v>
      </c>
      <c r="H236" s="66">
        <v>292</v>
      </c>
      <c r="I236" s="68" t="str">
        <f t="shared" si="6"/>
        <v>NIE</v>
      </c>
      <c r="J236" s="66">
        <v>0.77434800000000004</v>
      </c>
      <c r="K236" s="70">
        <v>-7.65236E-5</v>
      </c>
      <c r="L236" s="66">
        <v>0.62046299999999999</v>
      </c>
      <c r="M236" s="66">
        <v>103</v>
      </c>
      <c r="N236" s="6" t="str">
        <f t="shared" si="7"/>
        <v>NIE</v>
      </c>
    </row>
    <row r="237" spans="1:14">
      <c r="A237" s="41"/>
      <c r="B237" s="1">
        <v>35</v>
      </c>
      <c r="C237" s="67">
        <v>0.34</v>
      </c>
      <c r="D237" s="67">
        <v>0.51</v>
      </c>
      <c r="E237" s="67">
        <v>3.1899999999999998E-2</v>
      </c>
      <c r="F237" s="67">
        <v>0.81389999999999996</v>
      </c>
      <c r="G237" s="67">
        <v>0.70024600000000004</v>
      </c>
      <c r="H237" s="67">
        <v>323</v>
      </c>
      <c r="I237" s="68" t="str">
        <f t="shared" si="6"/>
        <v>NIE</v>
      </c>
      <c r="J237" s="67">
        <v>-4.7512800000000001E-2</v>
      </c>
      <c r="K237" s="67">
        <v>0.74785800000000002</v>
      </c>
      <c r="L237" s="67">
        <v>0.71418099999999995</v>
      </c>
      <c r="M237" s="67">
        <v>113</v>
      </c>
      <c r="N237" s="6" t="str">
        <f t="shared" si="7"/>
        <v>NIE</v>
      </c>
    </row>
    <row r="238" spans="1:14">
      <c r="A238" s="41"/>
      <c r="B238" s="1">
        <v>36</v>
      </c>
      <c r="C238" s="66">
        <v>-0.71</v>
      </c>
      <c r="D238" s="66">
        <v>0.83</v>
      </c>
      <c r="E238" s="66">
        <v>-0.76949999999999996</v>
      </c>
      <c r="F238" s="66">
        <v>0.77110000000000001</v>
      </c>
      <c r="G238" s="66">
        <v>1.2423599999999999</v>
      </c>
      <c r="H238" s="66">
        <v>172</v>
      </c>
      <c r="I238" s="68" t="str">
        <f t="shared" si="6"/>
        <v>NIE</v>
      </c>
      <c r="J238" s="66">
        <v>-0.71</v>
      </c>
      <c r="K238" s="66">
        <v>0.83</v>
      </c>
      <c r="L238" s="66">
        <v>1.4613</v>
      </c>
      <c r="M238" s="66">
        <v>3</v>
      </c>
      <c r="N238" s="6" t="str">
        <f t="shared" si="7"/>
        <v>NIE</v>
      </c>
    </row>
    <row r="239" spans="1:14">
      <c r="A239" s="41"/>
      <c r="B239" s="1">
        <v>37</v>
      </c>
      <c r="C239" s="67">
        <v>-0.41</v>
      </c>
      <c r="D239" s="67">
        <v>0.43</v>
      </c>
      <c r="E239" s="67">
        <v>-2.7199999999999998E-2</v>
      </c>
      <c r="F239" s="67">
        <v>0.80979999999999996</v>
      </c>
      <c r="G239" s="67">
        <v>0.68194299999999997</v>
      </c>
      <c r="H239" s="67">
        <v>270</v>
      </c>
      <c r="I239" s="68" t="str">
        <f t="shared" si="6"/>
        <v>NIE</v>
      </c>
      <c r="J239" s="67">
        <v>4.4276100000000001E-4</v>
      </c>
      <c r="K239" s="67">
        <v>0.77526700000000004</v>
      </c>
      <c r="L239" s="67">
        <v>0.62045300000000003</v>
      </c>
      <c r="M239" s="67">
        <v>91</v>
      </c>
      <c r="N239" s="6" t="str">
        <f t="shared" si="7"/>
        <v>NIE</v>
      </c>
    </row>
    <row r="240" spans="1:14">
      <c r="A240" s="41"/>
      <c r="B240" s="1">
        <v>38</v>
      </c>
      <c r="C240" s="66">
        <v>0.03</v>
      </c>
      <c r="D240" s="66">
        <v>-0.68</v>
      </c>
      <c r="E240" s="66">
        <v>-2.6100000000000002E-2</v>
      </c>
      <c r="F240" s="66">
        <v>-0.77029999999999998</v>
      </c>
      <c r="G240" s="66">
        <v>0.64275499999999997</v>
      </c>
      <c r="H240" s="66">
        <v>196</v>
      </c>
      <c r="I240" s="68" t="str">
        <f t="shared" si="6"/>
        <v>NIE</v>
      </c>
      <c r="J240" s="66">
        <v>0.03</v>
      </c>
      <c r="K240" s="66">
        <v>-0.68</v>
      </c>
      <c r="L240" s="66">
        <v>0.90530999999999995</v>
      </c>
      <c r="M240" s="66">
        <v>3</v>
      </c>
      <c r="N240" s="6" t="str">
        <f t="shared" si="7"/>
        <v>NIE</v>
      </c>
    </row>
    <row r="241" spans="1:14">
      <c r="A241" s="41"/>
      <c r="B241" s="1">
        <v>39</v>
      </c>
      <c r="C241" s="67">
        <v>0.93</v>
      </c>
      <c r="D241" s="67">
        <v>0.9</v>
      </c>
      <c r="E241" s="67">
        <v>0.78690000000000004</v>
      </c>
      <c r="F241" s="67">
        <v>0.75890000000000002</v>
      </c>
      <c r="G241" s="67">
        <v>1.2533700000000001</v>
      </c>
      <c r="H241" s="67">
        <v>265</v>
      </c>
      <c r="I241" s="68" t="str">
        <f t="shared" si="6"/>
        <v>NIE</v>
      </c>
      <c r="J241" s="67">
        <v>0.93</v>
      </c>
      <c r="K241" s="67">
        <v>0.9</v>
      </c>
      <c r="L241" s="67">
        <v>2.4396100000000001</v>
      </c>
      <c r="M241" s="67">
        <v>3</v>
      </c>
      <c r="N241" s="6" t="str">
        <f t="shared" si="7"/>
        <v>NIE</v>
      </c>
    </row>
    <row r="242" spans="1:14">
      <c r="A242" s="41"/>
      <c r="B242" s="1">
        <v>40</v>
      </c>
      <c r="C242" s="66">
        <v>-0.4</v>
      </c>
      <c r="D242" s="66">
        <v>-0.81</v>
      </c>
      <c r="E242" s="66">
        <v>2.9999999999999997E-4</v>
      </c>
      <c r="F242" s="66">
        <v>-0.79830000000000001</v>
      </c>
      <c r="G242" s="66">
        <v>0.63742200000000004</v>
      </c>
      <c r="H242" s="66">
        <v>320</v>
      </c>
      <c r="I242" s="68" t="str">
        <f t="shared" si="6"/>
        <v>NIE</v>
      </c>
      <c r="J242" s="66">
        <v>-9.834659999999999E-4</v>
      </c>
      <c r="K242" s="66">
        <v>-0.77832800000000002</v>
      </c>
      <c r="L242" s="66">
        <v>0.62080599999999997</v>
      </c>
      <c r="M242" s="66">
        <v>137</v>
      </c>
      <c r="N242" s="6" t="str">
        <f t="shared" si="7"/>
        <v>NIE</v>
      </c>
    </row>
    <row r="243" spans="1:14">
      <c r="A243" s="41"/>
      <c r="B243" s="1">
        <v>41</v>
      </c>
      <c r="C243" s="67">
        <v>0.62</v>
      </c>
      <c r="D243" s="67">
        <v>0.17</v>
      </c>
      <c r="E243" s="67">
        <v>0.78469999999999995</v>
      </c>
      <c r="F243" s="67">
        <v>4.7000000000000002E-3</v>
      </c>
      <c r="G243" s="67">
        <v>0.62404700000000002</v>
      </c>
      <c r="H243" s="67">
        <v>234</v>
      </c>
      <c r="I243" s="68" t="str">
        <f t="shared" si="6"/>
        <v>NIE</v>
      </c>
      <c r="J243" s="67">
        <v>0.77508299999999997</v>
      </c>
      <c r="K243" s="69">
        <v>-9.0283700000000003E-9</v>
      </c>
      <c r="L243" s="67">
        <v>0.62044600000000005</v>
      </c>
      <c r="M243" s="67">
        <v>173</v>
      </c>
      <c r="N243" s="6" t="str">
        <f t="shared" si="7"/>
        <v>NIE</v>
      </c>
    </row>
    <row r="244" spans="1:14">
      <c r="A244" s="41"/>
      <c r="B244" s="1">
        <v>42</v>
      </c>
      <c r="C244" s="66">
        <v>-0.84</v>
      </c>
      <c r="D244" s="66">
        <v>0.72</v>
      </c>
      <c r="E244" s="66">
        <v>-0.78049999999999997</v>
      </c>
      <c r="F244" s="66">
        <v>0.77890000000000004</v>
      </c>
      <c r="G244" s="66">
        <v>1.24227</v>
      </c>
      <c r="H244" s="66">
        <v>108</v>
      </c>
      <c r="I244" s="68" t="str">
        <f t="shared" si="6"/>
        <v>NIE</v>
      </c>
      <c r="J244" s="66">
        <v>-0.77570300000000003</v>
      </c>
      <c r="K244" s="66">
        <v>0.77652200000000005</v>
      </c>
      <c r="L244" s="66">
        <v>1.2409699999999999</v>
      </c>
      <c r="M244" s="66">
        <v>57</v>
      </c>
      <c r="N244" s="6" t="str">
        <f t="shared" si="7"/>
        <v>NIE</v>
      </c>
    </row>
    <row r="245" spans="1:14">
      <c r="A245" s="41"/>
      <c r="B245" s="1">
        <v>43</v>
      </c>
      <c r="C245" s="67">
        <v>-0.73</v>
      </c>
      <c r="D245" s="67">
        <v>0.65</v>
      </c>
      <c r="E245" s="67">
        <v>-0.80959999999999999</v>
      </c>
      <c r="F245" s="67">
        <v>0.76759999999999995</v>
      </c>
      <c r="G245" s="67">
        <v>1.28024</v>
      </c>
      <c r="H245" s="67">
        <v>176</v>
      </c>
      <c r="I245" s="68" t="str">
        <f t="shared" si="6"/>
        <v>NIE</v>
      </c>
      <c r="J245" s="67">
        <v>-0.744448</v>
      </c>
      <c r="K245" s="67">
        <v>0.79447900000000005</v>
      </c>
      <c r="L245" s="67">
        <v>1.28142</v>
      </c>
      <c r="M245" s="67">
        <v>29</v>
      </c>
      <c r="N245" s="6" t="str">
        <f t="shared" si="7"/>
        <v>NIE</v>
      </c>
    </row>
    <row r="246" spans="1:14">
      <c r="A246" s="41"/>
      <c r="B246" s="1">
        <v>44</v>
      </c>
      <c r="C246" s="66">
        <v>-0.56999999999999995</v>
      </c>
      <c r="D246" s="66">
        <v>0.8</v>
      </c>
      <c r="E246" s="66">
        <v>-0.77159999999999995</v>
      </c>
      <c r="F246" s="66">
        <v>0.77839999999999998</v>
      </c>
      <c r="G246" s="66">
        <v>1.2416100000000001</v>
      </c>
      <c r="H246" s="66">
        <v>279</v>
      </c>
      <c r="I246" s="68" t="str">
        <f t="shared" si="6"/>
        <v>NIE</v>
      </c>
      <c r="J246" s="66">
        <v>-0.56999999999999995</v>
      </c>
      <c r="K246" s="66">
        <v>0.8</v>
      </c>
      <c r="L246" s="66">
        <v>2.2005599999999998</v>
      </c>
      <c r="M246" s="66">
        <v>3</v>
      </c>
      <c r="N246" s="6" t="str">
        <f t="shared" si="7"/>
        <v>NIE</v>
      </c>
    </row>
    <row r="247" spans="1:14">
      <c r="A247" s="41"/>
      <c r="B247" s="1">
        <v>45</v>
      </c>
      <c r="C247" s="67">
        <v>-0.96</v>
      </c>
      <c r="D247" s="67">
        <v>0.7</v>
      </c>
      <c r="E247" s="67">
        <v>-0.78890000000000005</v>
      </c>
      <c r="F247" s="67">
        <v>0.82909999999999995</v>
      </c>
      <c r="G247" s="67">
        <v>1.33911</v>
      </c>
      <c r="H247" s="67">
        <v>198</v>
      </c>
      <c r="I247" s="68" t="str">
        <f t="shared" si="6"/>
        <v>NIE</v>
      </c>
      <c r="J247" s="67">
        <v>-0.77493999999999996</v>
      </c>
      <c r="K247" s="67">
        <v>0.77515100000000003</v>
      </c>
      <c r="L247" s="67">
        <v>1.24089</v>
      </c>
      <c r="M247" s="67">
        <v>123</v>
      </c>
      <c r="N247" s="6" t="str">
        <f t="shared" si="7"/>
        <v>NIE</v>
      </c>
    </row>
    <row r="248" spans="1:14">
      <c r="A248" s="41"/>
      <c r="B248" s="1">
        <v>46</v>
      </c>
      <c r="C248" s="66">
        <v>0.88</v>
      </c>
      <c r="D248" s="66">
        <v>0.46</v>
      </c>
      <c r="E248" s="66">
        <v>0.68530000000000002</v>
      </c>
      <c r="F248" s="66">
        <v>0.76029999999999998</v>
      </c>
      <c r="G248" s="66">
        <v>1.47804</v>
      </c>
      <c r="H248" s="66">
        <v>279</v>
      </c>
      <c r="I248" s="68" t="str">
        <f t="shared" si="6"/>
        <v>NIE</v>
      </c>
      <c r="J248" s="66">
        <v>0.77508299999999997</v>
      </c>
      <c r="K248" s="66">
        <v>0.775084</v>
      </c>
      <c r="L248" s="66">
        <v>1.24089</v>
      </c>
      <c r="M248" s="66">
        <v>255</v>
      </c>
      <c r="N248" s="6" t="str">
        <f t="shared" si="7"/>
        <v>NIE</v>
      </c>
    </row>
    <row r="249" spans="1:14">
      <c r="A249" s="41"/>
      <c r="B249" s="1">
        <v>47</v>
      </c>
      <c r="C249" s="67">
        <v>0.41</v>
      </c>
      <c r="D249" s="67">
        <v>0.75</v>
      </c>
      <c r="E249" s="67">
        <v>5.0000000000000001E-4</v>
      </c>
      <c r="F249" s="67">
        <v>0.76349999999999996</v>
      </c>
      <c r="G249" s="67">
        <v>0.624614</v>
      </c>
      <c r="H249" s="67">
        <v>403</v>
      </c>
      <c r="I249" s="68" t="str">
        <f t="shared" si="6"/>
        <v>NIE</v>
      </c>
      <c r="J249" s="69">
        <v>-1.24652E-8</v>
      </c>
      <c r="K249" s="67">
        <v>0.775084</v>
      </c>
      <c r="L249" s="67">
        <v>0.62044600000000005</v>
      </c>
      <c r="M249" s="67">
        <v>259</v>
      </c>
      <c r="N249" s="6" t="str">
        <f t="shared" si="7"/>
        <v>NIE</v>
      </c>
    </row>
    <row r="250" spans="1:14">
      <c r="A250" s="41"/>
      <c r="B250" s="1">
        <v>48</v>
      </c>
      <c r="C250" s="66">
        <v>-0.44</v>
      </c>
      <c r="D250" s="66">
        <v>0.86</v>
      </c>
      <c r="E250" s="66">
        <v>-0.78010000000000002</v>
      </c>
      <c r="F250" s="66">
        <v>0.70030000000000003</v>
      </c>
      <c r="G250" s="66">
        <v>1.4048499999999999</v>
      </c>
      <c r="H250" s="66">
        <v>370</v>
      </c>
      <c r="I250" s="68" t="str">
        <f t="shared" si="6"/>
        <v>NIE</v>
      </c>
      <c r="J250" s="66">
        <v>-0.44</v>
      </c>
      <c r="K250" s="66">
        <v>0.86</v>
      </c>
      <c r="L250" s="66">
        <v>2.9922399999999998</v>
      </c>
      <c r="M250" s="66">
        <v>3</v>
      </c>
      <c r="N250" s="6" t="str">
        <f t="shared" si="7"/>
        <v>NIE</v>
      </c>
    </row>
    <row r="251" spans="1:14">
      <c r="A251" s="41"/>
      <c r="B251" s="1">
        <v>49</v>
      </c>
      <c r="C251" s="67">
        <v>0.03</v>
      </c>
      <c r="D251" s="67">
        <v>-0.61</v>
      </c>
      <c r="E251" s="67">
        <v>-2.2100000000000002E-2</v>
      </c>
      <c r="F251" s="67">
        <v>-0.78049999999999997</v>
      </c>
      <c r="G251" s="67">
        <v>0.63686299999999996</v>
      </c>
      <c r="H251" s="67">
        <v>257</v>
      </c>
      <c r="I251" s="68" t="str">
        <f t="shared" si="6"/>
        <v>NIE</v>
      </c>
      <c r="J251" s="67">
        <v>0.03</v>
      </c>
      <c r="K251" s="67">
        <v>-0.61</v>
      </c>
      <c r="L251" s="67">
        <v>1.32456</v>
      </c>
      <c r="M251" s="67">
        <v>3</v>
      </c>
      <c r="N251" s="6" t="str">
        <f t="shared" si="7"/>
        <v>NIE</v>
      </c>
    </row>
    <row r="252" spans="1:14">
      <c r="A252" s="41"/>
      <c r="B252" s="1">
        <v>50</v>
      </c>
      <c r="C252" s="66">
        <v>-0.98</v>
      </c>
      <c r="D252" s="66">
        <v>-0.63</v>
      </c>
      <c r="E252" s="66">
        <v>-0.79700000000000004</v>
      </c>
      <c r="F252" s="66">
        <v>-0.80740000000000001</v>
      </c>
      <c r="G252" s="66">
        <v>1.2889699999999999</v>
      </c>
      <c r="H252" s="66">
        <v>236</v>
      </c>
      <c r="I252" s="68" t="str">
        <f t="shared" si="6"/>
        <v>NIE</v>
      </c>
      <c r="J252" s="66">
        <v>-0.77538399999999996</v>
      </c>
      <c r="K252" s="66">
        <v>-0.77841400000000005</v>
      </c>
      <c r="L252" s="66">
        <v>1.2412399999999999</v>
      </c>
      <c r="M252" s="66">
        <v>69</v>
      </c>
      <c r="N252" s="6" t="str">
        <f t="shared" si="7"/>
        <v>NIE</v>
      </c>
    </row>
    <row r="253" spans="1:14">
      <c r="A253" s="41"/>
      <c r="B253" s="1">
        <v>51</v>
      </c>
      <c r="C253" s="67">
        <v>0.43</v>
      </c>
      <c r="D253" s="67">
        <v>0.83</v>
      </c>
      <c r="E253" s="67">
        <v>0.77839999999999998</v>
      </c>
      <c r="F253" s="67">
        <v>0.74660000000000004</v>
      </c>
      <c r="G253" s="67">
        <v>1.2660800000000001</v>
      </c>
      <c r="H253" s="67">
        <v>286</v>
      </c>
      <c r="I253" s="68" t="str">
        <f t="shared" si="6"/>
        <v>NIE</v>
      </c>
      <c r="J253" s="67">
        <v>0.775177</v>
      </c>
      <c r="K253" s="67">
        <v>0.77533700000000005</v>
      </c>
      <c r="L253" s="67">
        <v>1.24089</v>
      </c>
      <c r="M253" s="67">
        <v>129</v>
      </c>
      <c r="N253" s="6" t="str">
        <f t="shared" si="7"/>
        <v>NIE</v>
      </c>
    </row>
    <row r="254" spans="1:14">
      <c r="A254" s="41"/>
      <c r="B254" s="1">
        <v>52</v>
      </c>
      <c r="C254" s="66">
        <v>-0.79</v>
      </c>
      <c r="D254" s="66">
        <v>0.54</v>
      </c>
      <c r="E254" s="66">
        <v>-0.78039999999999998</v>
      </c>
      <c r="F254" s="66">
        <v>0.77459999999999996</v>
      </c>
      <c r="G254" s="66">
        <v>1.2417800000000001</v>
      </c>
      <c r="H254" s="66">
        <v>238</v>
      </c>
      <c r="I254" s="68" t="str">
        <f t="shared" si="6"/>
        <v>NIE</v>
      </c>
      <c r="J254" s="66">
        <v>-0.77504200000000001</v>
      </c>
      <c r="K254" s="66">
        <v>0.80016200000000004</v>
      </c>
      <c r="L254" s="66">
        <v>1.26071</v>
      </c>
      <c r="M254" s="66">
        <v>31</v>
      </c>
      <c r="N254" s="6" t="str">
        <f t="shared" si="7"/>
        <v>NIE</v>
      </c>
    </row>
    <row r="255" spans="1:14">
      <c r="A255" s="41"/>
      <c r="B255" s="1">
        <v>53</v>
      </c>
      <c r="C255" s="67">
        <v>0.26</v>
      </c>
      <c r="D255" s="67">
        <v>0.24</v>
      </c>
      <c r="E255" s="67">
        <v>1.15E-2</v>
      </c>
      <c r="F255" s="67">
        <v>-7.9000000000000008E-3</v>
      </c>
      <c r="G255" s="67">
        <v>6.1890000000000001E-3</v>
      </c>
      <c r="H255" s="67">
        <v>352</v>
      </c>
      <c r="I255" s="68" t="str">
        <f t="shared" si="6"/>
        <v>TAK</v>
      </c>
      <c r="J255" s="67">
        <v>0.26</v>
      </c>
      <c r="K255" s="67">
        <v>0.24</v>
      </c>
      <c r="L255" s="67">
        <v>2.8863799999999999</v>
      </c>
      <c r="M255" s="67">
        <v>3</v>
      </c>
      <c r="N255" s="6" t="str">
        <f t="shared" si="7"/>
        <v>NIE</v>
      </c>
    </row>
    <row r="256" spans="1:14">
      <c r="A256" s="41"/>
      <c r="B256" s="1">
        <v>54</v>
      </c>
      <c r="C256" s="66">
        <v>0.38</v>
      </c>
      <c r="D256" s="66">
        <v>0.2</v>
      </c>
      <c r="E256" s="66">
        <v>4.7899999999999998E-2</v>
      </c>
      <c r="F256" s="66">
        <v>-9.4100000000000003E-2</v>
      </c>
      <c r="G256" s="66">
        <v>0.34165899999999999</v>
      </c>
      <c r="H256" s="66">
        <v>390</v>
      </c>
      <c r="I256" s="68" t="str">
        <f t="shared" si="6"/>
        <v>TAK</v>
      </c>
      <c r="J256" s="66">
        <v>0.38</v>
      </c>
      <c r="K256" s="66">
        <v>0.2</v>
      </c>
      <c r="L256" s="66">
        <v>3.1710500000000001</v>
      </c>
      <c r="M256" s="66">
        <v>3</v>
      </c>
      <c r="N256" s="6" t="str">
        <f t="shared" si="7"/>
        <v>NIE</v>
      </c>
    </row>
    <row r="257" spans="1:14">
      <c r="A257" s="41"/>
      <c r="B257" s="1">
        <v>55</v>
      </c>
      <c r="C257" s="67">
        <v>-0.34</v>
      </c>
      <c r="D257" s="67">
        <v>0.5</v>
      </c>
      <c r="E257" s="67">
        <v>-3.1899999999999998E-2</v>
      </c>
      <c r="F257" s="67">
        <v>0.80510000000000004</v>
      </c>
      <c r="G257" s="67">
        <v>0.68107300000000004</v>
      </c>
      <c r="H257" s="67">
        <v>243</v>
      </c>
      <c r="I257" s="68" t="str">
        <f t="shared" si="6"/>
        <v>NIE</v>
      </c>
      <c r="J257" s="69">
        <v>1.2968399999999999E-5</v>
      </c>
      <c r="K257" s="67">
        <v>0.77509600000000001</v>
      </c>
      <c r="L257" s="67">
        <v>0.62044600000000005</v>
      </c>
      <c r="M257" s="67">
        <v>149</v>
      </c>
      <c r="N257" s="6" t="str">
        <f t="shared" si="7"/>
        <v>NIE</v>
      </c>
    </row>
    <row r="258" spans="1:14">
      <c r="A258" s="41"/>
      <c r="B258" s="1">
        <v>56</v>
      </c>
      <c r="C258" s="66">
        <v>0.39</v>
      </c>
      <c r="D258" s="66">
        <v>0.8</v>
      </c>
      <c r="E258" s="66">
        <v>-1.4E-3</v>
      </c>
      <c r="F258" s="66">
        <v>0.78839999999999999</v>
      </c>
      <c r="G258" s="66">
        <v>0.62607500000000005</v>
      </c>
      <c r="H258" s="66">
        <v>403</v>
      </c>
      <c r="I258" s="68" t="str">
        <f t="shared" si="6"/>
        <v>NIE</v>
      </c>
      <c r="J258" s="66">
        <v>0.39</v>
      </c>
      <c r="K258" s="66">
        <v>0.8</v>
      </c>
      <c r="L258" s="66">
        <v>2.7888999999999999</v>
      </c>
      <c r="M258" s="66">
        <v>3</v>
      </c>
      <c r="N258" s="6" t="str">
        <f t="shared" si="7"/>
        <v>NIE</v>
      </c>
    </row>
    <row r="259" spans="1:14">
      <c r="A259" s="41"/>
      <c r="B259" s="1">
        <v>57</v>
      </c>
      <c r="C259" s="67">
        <v>-0.33</v>
      </c>
      <c r="D259" s="67">
        <v>7.0000000000000007E-2</v>
      </c>
      <c r="E259" s="67">
        <v>9.7000000000000003E-3</v>
      </c>
      <c r="F259" s="67">
        <v>-5.4100000000000002E-2</v>
      </c>
      <c r="G259" s="67">
        <v>9.4750000000000001E-2</v>
      </c>
      <c r="H259" s="67">
        <v>288</v>
      </c>
      <c r="I259" s="68" t="str">
        <f t="shared" si="6"/>
        <v>TAK</v>
      </c>
      <c r="J259" s="67">
        <v>-3.18752E-4</v>
      </c>
      <c r="K259" s="67">
        <v>-2.4573199999999998E-3</v>
      </c>
      <c r="L259" s="67">
        <v>1.9531600000000001E-4</v>
      </c>
      <c r="M259" s="67">
        <v>65</v>
      </c>
      <c r="N259" s="6" t="str">
        <f t="shared" si="7"/>
        <v>TAK</v>
      </c>
    </row>
    <row r="260" spans="1:14">
      <c r="A260" s="41"/>
      <c r="B260" s="1">
        <v>58</v>
      </c>
      <c r="C260" s="66">
        <v>0.04</v>
      </c>
      <c r="D260" s="66">
        <v>-0.53</v>
      </c>
      <c r="E260" s="66">
        <v>-1.9300000000000001E-2</v>
      </c>
      <c r="F260" s="66">
        <v>-0.77829999999999999</v>
      </c>
      <c r="G260" s="66">
        <v>0.63259699999999996</v>
      </c>
      <c r="H260" s="66">
        <v>309</v>
      </c>
      <c r="I260" s="68" t="str">
        <f t="shared" ref="I260:I302" si="8">IF(AND(E260&gt;-0.1,E260&lt;0.1,F260&gt;-0.1,F260&lt;0.1),"TAK","NIE")</f>
        <v>NIE</v>
      </c>
      <c r="J260" s="66">
        <v>0.04</v>
      </c>
      <c r="K260" s="66">
        <v>-0.53</v>
      </c>
      <c r="L260" s="66">
        <v>1.8556900000000001</v>
      </c>
      <c r="M260" s="66">
        <v>3</v>
      </c>
      <c r="N260" s="6" t="str">
        <f t="shared" ref="N260:N302" si="9">IF(AND(J260&gt;-0.1,J260&lt;0.1,K260&gt;-0.1,K260&lt;0.1),"TAK","NIE")</f>
        <v>NIE</v>
      </c>
    </row>
    <row r="261" spans="1:14">
      <c r="A261" s="41"/>
      <c r="B261" s="1">
        <v>59</v>
      </c>
      <c r="C261" s="67">
        <v>-0.28000000000000003</v>
      </c>
      <c r="D261" s="67">
        <v>0</v>
      </c>
      <c r="E261" s="67">
        <v>-2.5000000000000001E-3</v>
      </c>
      <c r="F261" s="67">
        <v>0</v>
      </c>
      <c r="G261" s="67">
        <v>1.9881400000000001E-4</v>
      </c>
      <c r="H261" s="67">
        <v>301</v>
      </c>
      <c r="I261" s="68" t="str">
        <f t="shared" si="8"/>
        <v>TAK</v>
      </c>
      <c r="J261" s="67">
        <v>-5.2923200000000003E-4</v>
      </c>
      <c r="K261" s="67">
        <v>0</v>
      </c>
      <c r="L261" s="69">
        <v>8.9098999999999992E-6</v>
      </c>
      <c r="M261" s="67">
        <v>53</v>
      </c>
      <c r="N261" s="6" t="str">
        <f t="shared" si="9"/>
        <v>TAK</v>
      </c>
    </row>
    <row r="262" spans="1:14">
      <c r="A262" s="41"/>
      <c r="B262" s="1">
        <v>60</v>
      </c>
      <c r="C262" s="66">
        <v>0.79</v>
      </c>
      <c r="D262" s="66">
        <v>-0.72</v>
      </c>
      <c r="E262" s="66">
        <v>0.76449999999999996</v>
      </c>
      <c r="F262" s="66">
        <v>-0.77590000000000003</v>
      </c>
      <c r="G262" s="66">
        <v>1.2443900000000001</v>
      </c>
      <c r="H262" s="66">
        <v>150</v>
      </c>
      <c r="I262" s="68" t="str">
        <f t="shared" si="8"/>
        <v>NIE</v>
      </c>
      <c r="J262" s="66">
        <v>0.79</v>
      </c>
      <c r="K262" s="66">
        <v>-0.72</v>
      </c>
      <c r="L262" s="66">
        <v>1.3385100000000001</v>
      </c>
      <c r="M262" s="66">
        <v>3</v>
      </c>
      <c r="N262" s="6" t="str">
        <f t="shared" si="9"/>
        <v>NIE</v>
      </c>
    </row>
    <row r="263" spans="1:14">
      <c r="A263" s="41"/>
      <c r="B263" s="1">
        <v>61</v>
      </c>
      <c r="C263" s="67">
        <v>-0.3</v>
      </c>
      <c r="D263" s="67">
        <v>0.68</v>
      </c>
      <c r="E263" s="67">
        <v>-7.4000000000000003E-3</v>
      </c>
      <c r="F263" s="67">
        <v>0.86040000000000005</v>
      </c>
      <c r="G263" s="67">
        <v>0.85089400000000004</v>
      </c>
      <c r="H263" s="67">
        <v>266</v>
      </c>
      <c r="I263" s="68" t="str">
        <f t="shared" si="8"/>
        <v>NIE</v>
      </c>
      <c r="J263" s="69">
        <v>-1.31963E-6</v>
      </c>
      <c r="K263" s="67">
        <v>0.775088</v>
      </c>
      <c r="L263" s="67">
        <v>0.62044600000000005</v>
      </c>
      <c r="M263" s="67">
        <v>105</v>
      </c>
      <c r="N263" s="6" t="str">
        <f t="shared" si="9"/>
        <v>NIE</v>
      </c>
    </row>
    <row r="264" spans="1:14">
      <c r="A264" s="41"/>
      <c r="B264" s="1">
        <v>62</v>
      </c>
      <c r="C264" s="66">
        <v>0.27</v>
      </c>
      <c r="D264" s="66">
        <v>0.63</v>
      </c>
      <c r="E264" s="66">
        <v>3.5400000000000001E-2</v>
      </c>
      <c r="F264" s="66">
        <v>0.84060000000000001</v>
      </c>
      <c r="G264" s="66">
        <v>0.79559100000000005</v>
      </c>
      <c r="H264" s="66">
        <v>292</v>
      </c>
      <c r="I264" s="68" t="str">
        <f t="shared" si="8"/>
        <v>NIE</v>
      </c>
      <c r="J264" s="70">
        <v>-1.8833499999999998E-5</v>
      </c>
      <c r="K264" s="66">
        <v>0.77514700000000003</v>
      </c>
      <c r="L264" s="66">
        <v>0.62044600000000005</v>
      </c>
      <c r="M264" s="66">
        <v>161</v>
      </c>
      <c r="N264" s="6" t="str">
        <f t="shared" si="9"/>
        <v>NIE</v>
      </c>
    </row>
    <row r="265" spans="1:14">
      <c r="A265" s="41"/>
      <c r="B265" s="1">
        <v>63</v>
      </c>
      <c r="C265" s="67">
        <v>0.43</v>
      </c>
      <c r="D265" s="67">
        <v>0.83</v>
      </c>
      <c r="E265" s="67">
        <v>0.77839999999999998</v>
      </c>
      <c r="F265" s="67">
        <v>0.74660000000000004</v>
      </c>
      <c r="G265" s="67">
        <v>1.2660800000000001</v>
      </c>
      <c r="H265" s="67">
        <v>286</v>
      </c>
      <c r="I265" s="68" t="str">
        <f t="shared" si="8"/>
        <v>NIE</v>
      </c>
      <c r="J265" s="67">
        <v>0.775177</v>
      </c>
      <c r="K265" s="67">
        <v>0.77533700000000005</v>
      </c>
      <c r="L265" s="67">
        <v>1.24089</v>
      </c>
      <c r="M265" s="67">
        <v>129</v>
      </c>
      <c r="N265" s="6" t="str">
        <f t="shared" si="9"/>
        <v>NIE</v>
      </c>
    </row>
    <row r="266" spans="1:14">
      <c r="A266" s="41"/>
      <c r="B266" s="1">
        <v>64</v>
      </c>
      <c r="C266" s="66">
        <v>0.01</v>
      </c>
      <c r="D266" s="66">
        <v>0.98</v>
      </c>
      <c r="E266" s="66">
        <v>-2.8E-3</v>
      </c>
      <c r="F266" s="66">
        <v>0.7722</v>
      </c>
      <c r="G266" s="66">
        <v>0.62095500000000003</v>
      </c>
      <c r="H266" s="66">
        <v>291</v>
      </c>
      <c r="I266" s="68" t="str">
        <f t="shared" si="8"/>
        <v>NIE</v>
      </c>
      <c r="J266" s="66">
        <v>0.01</v>
      </c>
      <c r="K266" s="66">
        <v>0.98</v>
      </c>
      <c r="L266" s="66">
        <v>1.8032900000000001</v>
      </c>
      <c r="M266" s="66">
        <v>3</v>
      </c>
      <c r="N266" s="6" t="str">
        <f t="shared" si="9"/>
        <v>NIE</v>
      </c>
    </row>
    <row r="267" spans="1:14">
      <c r="A267" s="41"/>
      <c r="B267" s="1">
        <v>65</v>
      </c>
      <c r="C267" s="67">
        <v>0.75</v>
      </c>
      <c r="D267" s="67">
        <v>0.03</v>
      </c>
      <c r="E267" s="67">
        <v>0.77700000000000002</v>
      </c>
      <c r="F267" s="67">
        <v>2.3999999999999998E-3</v>
      </c>
      <c r="G267" s="67">
        <v>0.62074399999999996</v>
      </c>
      <c r="H267" s="67">
        <v>99</v>
      </c>
      <c r="I267" s="68" t="str">
        <f t="shared" si="8"/>
        <v>NIE</v>
      </c>
      <c r="J267" s="67">
        <v>0.77508699999999997</v>
      </c>
      <c r="K267" s="69">
        <v>3.4030199999999998E-5</v>
      </c>
      <c r="L267" s="67">
        <v>0.62044600000000005</v>
      </c>
      <c r="M267" s="67">
        <v>91</v>
      </c>
      <c r="N267" s="6" t="str">
        <f t="shared" si="9"/>
        <v>NIE</v>
      </c>
    </row>
    <row r="268" spans="1:14">
      <c r="A268" s="41"/>
      <c r="B268" s="1">
        <v>66</v>
      </c>
      <c r="C268" s="66">
        <v>-0.64</v>
      </c>
      <c r="D268" s="66">
        <v>-0.3</v>
      </c>
      <c r="E268" s="66">
        <v>-0.85950000000000004</v>
      </c>
      <c r="F268" s="66">
        <v>-2.9899999999999999E-2</v>
      </c>
      <c r="G268" s="66">
        <v>0.87273500000000004</v>
      </c>
      <c r="H268" s="66">
        <v>273</v>
      </c>
      <c r="I268" s="68" t="str">
        <f t="shared" si="8"/>
        <v>NIE</v>
      </c>
      <c r="J268" s="66">
        <v>-0.78280700000000003</v>
      </c>
      <c r="K268" s="66">
        <v>-2.8026000000000001E-3</v>
      </c>
      <c r="L268" s="66">
        <v>0.62256400000000001</v>
      </c>
      <c r="M268" s="66">
        <v>109</v>
      </c>
      <c r="N268" s="6" t="str">
        <f t="shared" si="9"/>
        <v>NIE</v>
      </c>
    </row>
    <row r="269" spans="1:14">
      <c r="A269" s="41"/>
      <c r="B269" s="1">
        <v>67</v>
      </c>
      <c r="C269" s="67">
        <v>-0.14000000000000001</v>
      </c>
      <c r="D269" s="67">
        <v>-0.91</v>
      </c>
      <c r="E269" s="67">
        <v>-2.2000000000000001E-3</v>
      </c>
      <c r="F269" s="67">
        <v>-0.77239999999999998</v>
      </c>
      <c r="G269" s="67">
        <v>0.62082499999999996</v>
      </c>
      <c r="H269" s="67">
        <v>162</v>
      </c>
      <c r="I269" s="68" t="str">
        <f t="shared" si="8"/>
        <v>NIE</v>
      </c>
      <c r="J269" s="67">
        <v>4.4789199999999999E-3</v>
      </c>
      <c r="K269" s="67">
        <v>-0.76552100000000001</v>
      </c>
      <c r="L269" s="67">
        <v>0.62392199999999998</v>
      </c>
      <c r="M269" s="67">
        <v>29</v>
      </c>
      <c r="N269" s="6" t="str">
        <f t="shared" si="9"/>
        <v>NIE</v>
      </c>
    </row>
    <row r="270" spans="1:14">
      <c r="A270" s="41"/>
      <c r="B270" s="1">
        <v>68</v>
      </c>
      <c r="C270" s="66">
        <v>-0.76</v>
      </c>
      <c r="D270" s="66">
        <v>-0.88</v>
      </c>
      <c r="E270" s="66">
        <v>-0.77649999999999997</v>
      </c>
      <c r="F270" s="66">
        <v>-0.77649999999999997</v>
      </c>
      <c r="G270" s="66">
        <v>1.24102</v>
      </c>
      <c r="H270" s="66">
        <v>155</v>
      </c>
      <c r="I270" s="68" t="str">
        <f t="shared" si="8"/>
        <v>NIE</v>
      </c>
      <c r="J270" s="66">
        <v>-0.775088</v>
      </c>
      <c r="K270" s="66">
        <v>-0.77513799999999999</v>
      </c>
      <c r="L270" s="66">
        <v>1.24089</v>
      </c>
      <c r="M270" s="66">
        <v>127</v>
      </c>
      <c r="N270" s="6" t="str">
        <f t="shared" si="9"/>
        <v>NIE</v>
      </c>
    </row>
    <row r="271" spans="1:14">
      <c r="A271" s="41"/>
      <c r="B271" s="1">
        <v>69</v>
      </c>
      <c r="C271" s="67">
        <v>-0.15</v>
      </c>
      <c r="D271" s="67">
        <v>0.63</v>
      </c>
      <c r="E271" s="67">
        <v>-1.5E-3</v>
      </c>
      <c r="F271" s="67">
        <v>0.77829999999999999</v>
      </c>
      <c r="G271" s="67">
        <v>0.62084099999999998</v>
      </c>
      <c r="H271" s="67">
        <v>168</v>
      </c>
      <c r="I271" s="68" t="str">
        <f t="shared" si="8"/>
        <v>NIE</v>
      </c>
      <c r="J271" s="67">
        <v>3.5977200000000001E-4</v>
      </c>
      <c r="K271" s="67">
        <v>0.774756</v>
      </c>
      <c r="L271" s="67">
        <v>0.62045399999999995</v>
      </c>
      <c r="M271" s="67">
        <v>91</v>
      </c>
      <c r="N271" s="6" t="str">
        <f t="shared" si="9"/>
        <v>NIE</v>
      </c>
    </row>
    <row r="272" spans="1:14">
      <c r="A272" s="41"/>
      <c r="B272" s="1">
        <v>70</v>
      </c>
      <c r="C272" s="66">
        <v>-0.16</v>
      </c>
      <c r="D272" s="66">
        <v>0.03</v>
      </c>
      <c r="E272" s="66">
        <v>5.1000000000000004E-3</v>
      </c>
      <c r="F272" s="66">
        <v>-2.3099999999999999E-2</v>
      </c>
      <c r="G272" s="66">
        <v>1.7757100000000001E-2</v>
      </c>
      <c r="H272" s="66">
        <v>200</v>
      </c>
      <c r="I272" s="68" t="str">
        <f t="shared" si="8"/>
        <v>TAK</v>
      </c>
      <c r="J272" s="70">
        <v>2.6248499999999998E-8</v>
      </c>
      <c r="K272" s="70">
        <v>-1.6942099999999999E-8</v>
      </c>
      <c r="L272" s="70">
        <v>3.1086199999999999E-14</v>
      </c>
      <c r="M272" s="66">
        <v>193</v>
      </c>
      <c r="N272" s="6" t="str">
        <f t="shared" si="9"/>
        <v>TAK</v>
      </c>
    </row>
    <row r="273" spans="1:14">
      <c r="A273" s="41"/>
      <c r="B273" s="1">
        <v>71</v>
      </c>
      <c r="C273" s="67">
        <v>-0.35</v>
      </c>
      <c r="D273" s="67">
        <v>0.75</v>
      </c>
      <c r="E273" s="67">
        <v>-1.4E-3</v>
      </c>
      <c r="F273" s="67">
        <v>0.75860000000000005</v>
      </c>
      <c r="G273" s="67">
        <v>0.62890400000000002</v>
      </c>
      <c r="H273" s="67">
        <v>293</v>
      </c>
      <c r="I273" s="68" t="str">
        <f t="shared" si="8"/>
        <v>NIE</v>
      </c>
      <c r="J273" s="67">
        <v>1.10571E-4</v>
      </c>
      <c r="K273" s="67">
        <v>0.77327500000000005</v>
      </c>
      <c r="L273" s="67">
        <v>0.62054900000000002</v>
      </c>
      <c r="M273" s="67">
        <v>101</v>
      </c>
      <c r="N273" s="6" t="str">
        <f t="shared" si="9"/>
        <v>NIE</v>
      </c>
    </row>
    <row r="274" spans="1:14">
      <c r="A274" s="41"/>
      <c r="B274" s="1">
        <v>72</v>
      </c>
      <c r="C274" s="66">
        <v>-0.65</v>
      </c>
      <c r="D274" s="66">
        <v>0.33</v>
      </c>
      <c r="E274" s="66">
        <v>-0.87109999999999999</v>
      </c>
      <c r="F274" s="66">
        <v>2.1899999999999999E-2</v>
      </c>
      <c r="G274" s="66">
        <v>0.92410899999999996</v>
      </c>
      <c r="H274" s="66">
        <v>365</v>
      </c>
      <c r="I274" s="68" t="str">
        <f t="shared" si="8"/>
        <v>NIE</v>
      </c>
      <c r="J274" s="66">
        <v>-0.65</v>
      </c>
      <c r="K274" s="66">
        <v>0.33</v>
      </c>
      <c r="L274" s="66">
        <v>3.0030600000000001</v>
      </c>
      <c r="M274" s="66">
        <v>3</v>
      </c>
      <c r="N274" s="6" t="str">
        <f t="shared" si="9"/>
        <v>NIE</v>
      </c>
    </row>
    <row r="275" spans="1:14">
      <c r="A275" s="41"/>
      <c r="B275" s="1">
        <v>73</v>
      </c>
      <c r="C275" s="67">
        <v>-0.18</v>
      </c>
      <c r="D275" s="67">
        <v>0.4</v>
      </c>
      <c r="E275" s="67">
        <v>0.112</v>
      </c>
      <c r="F275" s="67">
        <v>4.2999999999999997E-2</v>
      </c>
      <c r="G275" s="67">
        <v>0.43305700000000003</v>
      </c>
      <c r="H275" s="67">
        <v>366</v>
      </c>
      <c r="I275" s="68" t="str">
        <f t="shared" si="8"/>
        <v>NIE</v>
      </c>
      <c r="J275" s="67">
        <v>-3.5409000000000003E-2</v>
      </c>
      <c r="K275" s="67">
        <v>-2.8873900000000001E-2</v>
      </c>
      <c r="L275" s="67">
        <v>6.6047999999999996E-2</v>
      </c>
      <c r="M275" s="67">
        <v>73</v>
      </c>
      <c r="N275" s="6" t="str">
        <f t="shared" si="9"/>
        <v>TAK</v>
      </c>
    </row>
    <row r="276" spans="1:14">
      <c r="A276" s="41"/>
      <c r="B276" s="1">
        <v>74</v>
      </c>
      <c r="C276" s="66">
        <v>0.8</v>
      </c>
      <c r="D276" s="66">
        <v>0.06</v>
      </c>
      <c r="E276" s="66">
        <v>0.75949999999999995</v>
      </c>
      <c r="F276" s="66">
        <v>3.8999999999999998E-3</v>
      </c>
      <c r="G276" s="66">
        <v>0.62843800000000005</v>
      </c>
      <c r="H276" s="66">
        <v>157</v>
      </c>
      <c r="I276" s="68" t="str">
        <f t="shared" si="8"/>
        <v>NIE</v>
      </c>
      <c r="J276" s="66">
        <v>0.8</v>
      </c>
      <c r="K276" s="66">
        <v>0.06</v>
      </c>
      <c r="L276" s="66">
        <v>0.75248999999999999</v>
      </c>
      <c r="M276" s="66">
        <v>3</v>
      </c>
      <c r="N276" s="6" t="str">
        <f t="shared" si="9"/>
        <v>NIE</v>
      </c>
    </row>
    <row r="277" spans="1:14">
      <c r="A277" s="41"/>
      <c r="B277" s="1">
        <v>75</v>
      </c>
      <c r="C277" s="67">
        <v>-0.6</v>
      </c>
      <c r="D277" s="67">
        <v>0.59</v>
      </c>
      <c r="E277" s="67">
        <v>-0.78239999999999998</v>
      </c>
      <c r="F277" s="67">
        <v>0.77300000000000002</v>
      </c>
      <c r="G277" s="67">
        <v>1.2426999999999999</v>
      </c>
      <c r="H277" s="67">
        <v>242</v>
      </c>
      <c r="I277" s="68" t="str">
        <f t="shared" si="8"/>
        <v>NIE</v>
      </c>
      <c r="J277" s="67">
        <v>-0.77510000000000001</v>
      </c>
      <c r="K277" s="67">
        <v>0.77558199999999999</v>
      </c>
      <c r="L277" s="67">
        <v>1.2408999999999999</v>
      </c>
      <c r="M277" s="67">
        <v>179</v>
      </c>
      <c r="N277" s="6" t="str">
        <f t="shared" si="9"/>
        <v>NIE</v>
      </c>
    </row>
    <row r="278" spans="1:14">
      <c r="A278" s="41"/>
      <c r="B278" s="1">
        <v>76</v>
      </c>
      <c r="C278" s="66">
        <v>-0.13</v>
      </c>
      <c r="D278" s="66">
        <v>-0.38</v>
      </c>
      <c r="E278" s="66">
        <v>0.1095</v>
      </c>
      <c r="F278" s="66">
        <v>-1.4500000000000001E-2</v>
      </c>
      <c r="G278" s="66">
        <v>0.36591200000000002</v>
      </c>
      <c r="H278" s="66">
        <v>294</v>
      </c>
      <c r="I278" s="68" t="str">
        <f t="shared" si="8"/>
        <v>NIE</v>
      </c>
      <c r="J278" s="66">
        <v>2.9106100000000001E-3</v>
      </c>
      <c r="K278" s="66">
        <v>8.8391700000000004E-2</v>
      </c>
      <c r="L278" s="66">
        <v>0.23930899999999999</v>
      </c>
      <c r="M278" s="66">
        <v>33</v>
      </c>
      <c r="N278" s="6" t="str">
        <f t="shared" si="9"/>
        <v>TAK</v>
      </c>
    </row>
    <row r="279" spans="1:14">
      <c r="A279" s="41"/>
      <c r="B279" s="1">
        <v>77</v>
      </c>
      <c r="C279" s="67">
        <v>-0.21</v>
      </c>
      <c r="D279" s="67">
        <v>-0.86</v>
      </c>
      <c r="E279" s="67">
        <v>-1.47E-2</v>
      </c>
      <c r="F279" s="67">
        <v>-0.71530000000000005</v>
      </c>
      <c r="G279" s="67">
        <v>0.73350800000000005</v>
      </c>
      <c r="H279" s="67">
        <v>212</v>
      </c>
      <c r="I279" s="68" t="str">
        <f t="shared" si="8"/>
        <v>NIE</v>
      </c>
      <c r="J279" s="69">
        <v>5.4326600000000003E-5</v>
      </c>
      <c r="K279" s="67">
        <v>-0.77513299999999996</v>
      </c>
      <c r="L279" s="67">
        <v>0.62044600000000005</v>
      </c>
      <c r="M279" s="67">
        <v>159</v>
      </c>
      <c r="N279" s="6" t="str">
        <f t="shared" si="9"/>
        <v>NIE</v>
      </c>
    </row>
    <row r="280" spans="1:14">
      <c r="A280" s="41"/>
      <c r="B280" s="1">
        <v>78</v>
      </c>
      <c r="C280" s="66">
        <v>-0.75</v>
      </c>
      <c r="D280" s="66">
        <v>0.75</v>
      </c>
      <c r="E280" s="66">
        <v>-0.77510000000000001</v>
      </c>
      <c r="F280" s="66">
        <v>0.77510000000000001</v>
      </c>
      <c r="G280" s="66">
        <v>1.24089</v>
      </c>
      <c r="H280" s="66">
        <v>92</v>
      </c>
      <c r="I280" s="68" t="str">
        <f t="shared" si="8"/>
        <v>NIE</v>
      </c>
      <c r="J280" s="66">
        <v>-0.77508299999999997</v>
      </c>
      <c r="K280" s="66">
        <v>0.77508299999999997</v>
      </c>
      <c r="L280" s="66">
        <v>1.24089</v>
      </c>
      <c r="M280" s="66">
        <v>185</v>
      </c>
      <c r="N280" s="6" t="str">
        <f t="shared" si="9"/>
        <v>NIE</v>
      </c>
    </row>
    <row r="281" spans="1:14">
      <c r="A281" s="41"/>
      <c r="B281" s="1">
        <v>79</v>
      </c>
      <c r="C281" s="67">
        <v>0.97</v>
      </c>
      <c r="D281" s="67">
        <v>0.26</v>
      </c>
      <c r="E281" s="67">
        <v>0.74099999999999999</v>
      </c>
      <c r="F281" s="67">
        <v>2.5399999999999999E-2</v>
      </c>
      <c r="G281" s="67">
        <v>0.67631699999999995</v>
      </c>
      <c r="H281" s="67">
        <v>337</v>
      </c>
      <c r="I281" s="68" t="str">
        <f t="shared" si="8"/>
        <v>NIE</v>
      </c>
      <c r="J281" s="67">
        <v>0.97</v>
      </c>
      <c r="K281" s="67">
        <v>0.26</v>
      </c>
      <c r="L281" s="67">
        <v>3.22437</v>
      </c>
      <c r="M281" s="67">
        <v>3</v>
      </c>
      <c r="N281" s="6" t="str">
        <f t="shared" si="9"/>
        <v>NIE</v>
      </c>
    </row>
    <row r="282" spans="1:14">
      <c r="A282" s="41"/>
      <c r="B282" s="1">
        <v>80</v>
      </c>
      <c r="C282" s="66">
        <v>0.73</v>
      </c>
      <c r="D282" s="66">
        <v>0.24</v>
      </c>
      <c r="E282" s="66">
        <v>0.80630000000000002</v>
      </c>
      <c r="F282" s="66">
        <v>-7.9000000000000008E-3</v>
      </c>
      <c r="G282" s="66">
        <v>0.65317499999999995</v>
      </c>
      <c r="H282" s="66">
        <v>323</v>
      </c>
      <c r="I282" s="68" t="str">
        <f t="shared" si="8"/>
        <v>NIE</v>
      </c>
      <c r="J282" s="66">
        <v>0.77651599999999998</v>
      </c>
      <c r="K282" s="70">
        <v>-5.5397199999999999E-5</v>
      </c>
      <c r="L282" s="66">
        <v>0.62051000000000001</v>
      </c>
      <c r="M282" s="66">
        <v>143</v>
      </c>
      <c r="N282" s="6" t="str">
        <f t="shared" si="9"/>
        <v>NIE</v>
      </c>
    </row>
    <row r="283" spans="1:14">
      <c r="A283" s="41"/>
      <c r="B283" s="1">
        <v>81</v>
      </c>
      <c r="C283" s="67">
        <v>0.81</v>
      </c>
      <c r="D283" s="67">
        <v>-0.91</v>
      </c>
      <c r="E283" s="67">
        <v>0.74780000000000002</v>
      </c>
      <c r="F283" s="67">
        <v>-0.77239999999999998</v>
      </c>
      <c r="G283" s="67">
        <v>1.2639400000000001</v>
      </c>
      <c r="H283" s="67">
        <v>186</v>
      </c>
      <c r="I283" s="68" t="str">
        <f t="shared" si="8"/>
        <v>NIE</v>
      </c>
      <c r="J283" s="67">
        <v>0.79555200000000004</v>
      </c>
      <c r="K283" s="67">
        <v>-0.76552100000000001</v>
      </c>
      <c r="L283" s="67">
        <v>1.25691</v>
      </c>
      <c r="M283" s="67">
        <v>29</v>
      </c>
      <c r="N283" s="6" t="str">
        <f t="shared" si="9"/>
        <v>NIE</v>
      </c>
    </row>
    <row r="284" spans="1:14">
      <c r="A284" s="41"/>
      <c r="B284" s="1">
        <v>82</v>
      </c>
      <c r="C284" s="66">
        <v>0.94</v>
      </c>
      <c r="D284" s="66">
        <v>-0.33</v>
      </c>
      <c r="E284" s="66">
        <v>0.68940000000000001</v>
      </c>
      <c r="F284" s="66">
        <v>-3.7400000000000003E-2</v>
      </c>
      <c r="G284" s="66">
        <v>0.87570099999999995</v>
      </c>
      <c r="H284" s="66">
        <v>287</v>
      </c>
      <c r="I284" s="68" t="str">
        <f t="shared" si="8"/>
        <v>NIE</v>
      </c>
      <c r="J284" s="66">
        <v>0.77508299999999997</v>
      </c>
      <c r="K284" s="70">
        <v>7.7057299999999996E-9</v>
      </c>
      <c r="L284" s="66">
        <v>0.62044600000000005</v>
      </c>
      <c r="M284" s="66">
        <v>259</v>
      </c>
      <c r="N284" s="6" t="str">
        <f t="shared" si="9"/>
        <v>NIE</v>
      </c>
    </row>
    <row r="285" spans="1:14">
      <c r="A285" s="41"/>
      <c r="B285" s="1">
        <v>83</v>
      </c>
      <c r="C285" s="67">
        <v>0.7</v>
      </c>
      <c r="D285" s="67">
        <v>0.71</v>
      </c>
      <c r="E285" s="67">
        <v>0.77029999999999998</v>
      </c>
      <c r="F285" s="67">
        <v>0.77969999999999995</v>
      </c>
      <c r="G285" s="67">
        <v>1.24227</v>
      </c>
      <c r="H285" s="67">
        <v>117</v>
      </c>
      <c r="I285" s="68" t="str">
        <f t="shared" si="8"/>
        <v>NIE</v>
      </c>
      <c r="J285" s="67">
        <v>0.78021099999999999</v>
      </c>
      <c r="K285" s="67">
        <v>0.790211</v>
      </c>
      <c r="L285" s="67">
        <v>1.2488999999999999</v>
      </c>
      <c r="M285" s="67">
        <v>27</v>
      </c>
      <c r="N285" s="6" t="str">
        <f t="shared" si="9"/>
        <v>NIE</v>
      </c>
    </row>
    <row r="286" spans="1:14">
      <c r="A286" s="41"/>
      <c r="B286" s="1">
        <v>84</v>
      </c>
      <c r="C286" s="66">
        <v>-0.69</v>
      </c>
      <c r="D286" s="66">
        <v>-0.45</v>
      </c>
      <c r="E286" s="66">
        <v>-0.85</v>
      </c>
      <c r="F286" s="66">
        <v>-0.77400000000000002</v>
      </c>
      <c r="G286" s="66">
        <v>1.41781</v>
      </c>
      <c r="H286" s="66">
        <v>363</v>
      </c>
      <c r="I286" s="68" t="str">
        <f t="shared" si="8"/>
        <v>NIE</v>
      </c>
      <c r="J286" s="66">
        <v>-0.69</v>
      </c>
      <c r="K286" s="66">
        <v>-0.45</v>
      </c>
      <c r="L286" s="66">
        <v>2.95581</v>
      </c>
      <c r="M286" s="66">
        <v>3</v>
      </c>
      <c r="N286" s="6" t="str">
        <f t="shared" si="9"/>
        <v>NIE</v>
      </c>
    </row>
    <row r="287" spans="1:14">
      <c r="A287" s="41"/>
      <c r="B287" s="1">
        <v>85</v>
      </c>
      <c r="C287" s="67">
        <v>0.34</v>
      </c>
      <c r="D287" s="67">
        <v>-0.32</v>
      </c>
      <c r="E287" s="67">
        <v>7.9000000000000008E-3</v>
      </c>
      <c r="F287" s="67">
        <v>1.15E-2</v>
      </c>
      <c r="G287" s="67">
        <v>6.1890000000000001E-3</v>
      </c>
      <c r="H287" s="67">
        <v>330</v>
      </c>
      <c r="I287" s="68" t="str">
        <f t="shared" si="8"/>
        <v>TAK</v>
      </c>
      <c r="J287" s="67">
        <v>-5.75202E-2</v>
      </c>
      <c r="K287" s="67">
        <v>-1.15157E-2</v>
      </c>
      <c r="L287" s="67">
        <v>0.10774499999999999</v>
      </c>
      <c r="M287" s="67">
        <v>113</v>
      </c>
      <c r="N287" s="6" t="str">
        <f t="shared" si="9"/>
        <v>TAK</v>
      </c>
    </row>
    <row r="288" spans="1:14">
      <c r="A288" s="41"/>
      <c r="B288" s="1">
        <v>86</v>
      </c>
      <c r="C288" s="66">
        <v>0.1</v>
      </c>
      <c r="D288" s="66">
        <v>0.99</v>
      </c>
      <c r="E288" s="66">
        <v>-5.8500000000000003E-2</v>
      </c>
      <c r="F288" s="66">
        <v>0.80089999999999995</v>
      </c>
      <c r="G288" s="66">
        <v>0.74847399999999997</v>
      </c>
      <c r="H288" s="66">
        <v>292</v>
      </c>
      <c r="I288" s="68" t="str">
        <f t="shared" si="8"/>
        <v>NIE</v>
      </c>
      <c r="J288" s="66">
        <v>0.1</v>
      </c>
      <c r="K288" s="66">
        <v>0.99</v>
      </c>
      <c r="L288" s="66">
        <v>2.2003200000000001</v>
      </c>
      <c r="M288" s="66">
        <v>3</v>
      </c>
      <c r="N288" s="6" t="str">
        <f t="shared" si="9"/>
        <v>NIE</v>
      </c>
    </row>
    <row r="289" spans="1:14">
      <c r="A289" s="41"/>
      <c r="B289" s="1">
        <v>87</v>
      </c>
      <c r="C289" s="67">
        <v>-0.56999999999999995</v>
      </c>
      <c r="D289" s="67">
        <v>0.46</v>
      </c>
      <c r="E289" s="67">
        <v>-0.82909999999999995</v>
      </c>
      <c r="F289" s="67">
        <v>0.73009999999999997</v>
      </c>
      <c r="G289" s="67">
        <v>1.39418</v>
      </c>
      <c r="H289" s="67">
        <v>285</v>
      </c>
      <c r="I289" s="68" t="str">
        <f t="shared" si="8"/>
        <v>NIE</v>
      </c>
      <c r="J289" s="67">
        <v>-0.77511399999999997</v>
      </c>
      <c r="K289" s="67">
        <v>0.77506200000000003</v>
      </c>
      <c r="L289" s="67">
        <v>1.24089</v>
      </c>
      <c r="M289" s="67">
        <v>239</v>
      </c>
      <c r="N289" s="6" t="str">
        <f t="shared" si="9"/>
        <v>NIE</v>
      </c>
    </row>
    <row r="290" spans="1:14">
      <c r="A290" s="41"/>
      <c r="B290" s="1">
        <v>88</v>
      </c>
      <c r="C290" s="66">
        <v>-0.16</v>
      </c>
      <c r="D290" s="66">
        <v>-0.22</v>
      </c>
      <c r="E290" s="66">
        <v>3.1099999999999999E-2</v>
      </c>
      <c r="F290" s="66">
        <v>-2.47E-2</v>
      </c>
      <c r="G290" s="66">
        <v>4.9969300000000001E-2</v>
      </c>
      <c r="H290" s="66">
        <v>196</v>
      </c>
      <c r="I290" s="68" t="str">
        <f t="shared" si="8"/>
        <v>TAK</v>
      </c>
      <c r="J290" s="66">
        <v>-1.5521099999999999E-2</v>
      </c>
      <c r="K290" s="66">
        <v>4.0162099999999999E-2</v>
      </c>
      <c r="L290" s="66">
        <v>5.8555200000000002E-2</v>
      </c>
      <c r="M290" s="66">
        <v>31</v>
      </c>
      <c r="N290" s="6" t="str">
        <f t="shared" si="9"/>
        <v>TAK</v>
      </c>
    </row>
    <row r="291" spans="1:14">
      <c r="A291" s="41"/>
      <c r="B291" s="1">
        <v>89</v>
      </c>
      <c r="C291" s="67">
        <v>-0.14000000000000001</v>
      </c>
      <c r="D291" s="67">
        <v>-0.36</v>
      </c>
      <c r="E291" s="67">
        <v>0.1051</v>
      </c>
      <c r="F291" s="67">
        <v>-2.7900000000000001E-2</v>
      </c>
      <c r="G291" s="67">
        <v>0.35718100000000003</v>
      </c>
      <c r="H291" s="67">
        <v>276</v>
      </c>
      <c r="I291" s="68" t="str">
        <f t="shared" si="8"/>
        <v>NIE</v>
      </c>
      <c r="J291" s="67">
        <v>-7.4267400000000003E-3</v>
      </c>
      <c r="K291" s="67">
        <v>5.8137499999999997E-4</v>
      </c>
      <c r="L291" s="67">
        <v>1.76487E-3</v>
      </c>
      <c r="M291" s="67">
        <v>61</v>
      </c>
      <c r="N291" s="6" t="str">
        <f t="shared" si="9"/>
        <v>TAK</v>
      </c>
    </row>
    <row r="292" spans="1:14">
      <c r="A292" s="41"/>
      <c r="B292" s="1">
        <v>90</v>
      </c>
      <c r="C292" s="66">
        <v>0.36</v>
      </c>
      <c r="D292" s="66">
        <v>-0.22</v>
      </c>
      <c r="E292" s="66">
        <v>4.3999999999999997E-2</v>
      </c>
      <c r="F292" s="66">
        <v>7.4999999999999997E-2</v>
      </c>
      <c r="G292" s="66">
        <v>0.234985</v>
      </c>
      <c r="H292" s="66">
        <v>335</v>
      </c>
      <c r="I292" s="68" t="str">
        <f t="shared" si="8"/>
        <v>TAK</v>
      </c>
      <c r="J292" s="66">
        <v>0.333984</v>
      </c>
      <c r="K292" s="66">
        <v>4.0162099999999999E-2</v>
      </c>
      <c r="L292" s="66">
        <v>2.0303499999999999</v>
      </c>
      <c r="M292" s="66">
        <v>31</v>
      </c>
      <c r="N292" s="6" t="str">
        <f t="shared" si="9"/>
        <v>NIE</v>
      </c>
    </row>
    <row r="293" spans="1:14">
      <c r="A293" s="41"/>
      <c r="B293" s="1">
        <v>91</v>
      </c>
      <c r="C293" s="67">
        <v>0.76</v>
      </c>
      <c r="D293" s="67">
        <v>-0.77</v>
      </c>
      <c r="E293" s="67">
        <v>0.77510000000000001</v>
      </c>
      <c r="F293" s="67">
        <v>-0.77810000000000001</v>
      </c>
      <c r="G293" s="67">
        <v>1.2411799999999999</v>
      </c>
      <c r="H293" s="67">
        <v>65</v>
      </c>
      <c r="I293" s="68" t="str">
        <f t="shared" si="8"/>
        <v>NIE</v>
      </c>
      <c r="J293" s="67">
        <v>0.77506600000000003</v>
      </c>
      <c r="K293" s="67">
        <v>-0.77523600000000004</v>
      </c>
      <c r="L293" s="67">
        <v>1.24089</v>
      </c>
      <c r="M293" s="67">
        <v>57</v>
      </c>
      <c r="N293" s="6" t="str">
        <f t="shared" si="9"/>
        <v>NIE</v>
      </c>
    </row>
    <row r="294" spans="1:14">
      <c r="A294" s="41"/>
      <c r="B294" s="1">
        <v>92</v>
      </c>
      <c r="C294" s="66">
        <v>-0.08</v>
      </c>
      <c r="D294" s="66">
        <v>-0.45</v>
      </c>
      <c r="E294" s="66">
        <v>7.1800000000000003E-2</v>
      </c>
      <c r="F294" s="66">
        <v>-0.77400000000000002</v>
      </c>
      <c r="G294" s="66">
        <v>0.78031700000000004</v>
      </c>
      <c r="H294" s="66">
        <v>365</v>
      </c>
      <c r="I294" s="68" t="str">
        <f t="shared" si="8"/>
        <v>NIE</v>
      </c>
      <c r="J294" s="70">
        <v>1.12084E-8</v>
      </c>
      <c r="K294" s="66">
        <v>-0.77508299999999997</v>
      </c>
      <c r="L294" s="66">
        <v>0.62044600000000005</v>
      </c>
      <c r="M294" s="66">
        <v>283</v>
      </c>
      <c r="N294" s="6" t="str">
        <f t="shared" si="9"/>
        <v>NIE</v>
      </c>
    </row>
    <row r="295" spans="1:14">
      <c r="A295" s="41"/>
      <c r="B295" s="1">
        <v>93</v>
      </c>
      <c r="C295" s="67">
        <v>0.89</v>
      </c>
      <c r="D295" s="67">
        <v>0.17</v>
      </c>
      <c r="E295" s="67">
        <v>0.74709999999999999</v>
      </c>
      <c r="F295" s="67">
        <v>2.1499999999999998E-2</v>
      </c>
      <c r="G295" s="67">
        <v>0.65910999999999997</v>
      </c>
      <c r="H295" s="67">
        <v>267</v>
      </c>
      <c r="I295" s="68" t="str">
        <f t="shared" si="8"/>
        <v>NIE</v>
      </c>
      <c r="J295" s="67">
        <v>0.89</v>
      </c>
      <c r="K295" s="67">
        <v>0.17</v>
      </c>
      <c r="L295" s="67">
        <v>1.82419</v>
      </c>
      <c r="M295" s="67">
        <v>3</v>
      </c>
      <c r="N295" s="6" t="str">
        <f t="shared" si="9"/>
        <v>NIE</v>
      </c>
    </row>
    <row r="296" spans="1:14">
      <c r="A296" s="41"/>
      <c r="B296" s="1">
        <v>94</v>
      </c>
      <c r="C296" s="66">
        <v>-0.7</v>
      </c>
      <c r="D296" s="66">
        <v>0.87</v>
      </c>
      <c r="E296" s="66">
        <v>-0.78490000000000004</v>
      </c>
      <c r="F296" s="66">
        <v>0.78390000000000004</v>
      </c>
      <c r="G296" s="66">
        <v>1.2463500000000001</v>
      </c>
      <c r="H296" s="66">
        <v>206</v>
      </c>
      <c r="I296" s="68" t="str">
        <f t="shared" si="8"/>
        <v>NIE</v>
      </c>
      <c r="J296" s="66">
        <v>-0.7</v>
      </c>
      <c r="K296" s="66">
        <v>0.87</v>
      </c>
      <c r="L296" s="66">
        <v>1.6873199999999999</v>
      </c>
      <c r="M296" s="66">
        <v>3</v>
      </c>
      <c r="N296" s="6" t="str">
        <f t="shared" si="9"/>
        <v>NIE</v>
      </c>
    </row>
    <row r="297" spans="1:14">
      <c r="A297" s="41"/>
      <c r="B297" s="1">
        <v>95</v>
      </c>
      <c r="C297" s="67">
        <v>0.95</v>
      </c>
      <c r="D297" s="67">
        <v>-0.96</v>
      </c>
      <c r="E297" s="67">
        <v>0.76759999999999995</v>
      </c>
      <c r="F297" s="67">
        <v>-0.77700000000000002</v>
      </c>
      <c r="G297" s="67">
        <v>1.24275</v>
      </c>
      <c r="H297" s="67">
        <v>242</v>
      </c>
      <c r="I297" s="68" t="str">
        <f t="shared" si="8"/>
        <v>NIE</v>
      </c>
      <c r="J297" s="67">
        <v>0.773783</v>
      </c>
      <c r="K297" s="67">
        <v>-0.77533200000000002</v>
      </c>
      <c r="L297" s="67">
        <v>1.24095</v>
      </c>
      <c r="M297" s="67">
        <v>137</v>
      </c>
      <c r="N297" s="6" t="str">
        <f t="shared" si="9"/>
        <v>NIE</v>
      </c>
    </row>
    <row r="298" spans="1:14">
      <c r="A298" s="41"/>
      <c r="B298" s="1">
        <v>96</v>
      </c>
      <c r="C298" s="66">
        <v>-0.37</v>
      </c>
      <c r="D298" s="66">
        <v>0.76</v>
      </c>
      <c r="E298" s="66">
        <v>3.8999999999999998E-3</v>
      </c>
      <c r="F298" s="66">
        <v>0.78290000000000004</v>
      </c>
      <c r="G298" s="66">
        <v>0.62284399999999995</v>
      </c>
      <c r="H298" s="66">
        <v>307</v>
      </c>
      <c r="I298" s="68" t="str">
        <f t="shared" si="8"/>
        <v>NIE</v>
      </c>
      <c r="J298" s="66">
        <v>-2.5171599999999997E-4</v>
      </c>
      <c r="K298" s="66">
        <v>0.77493000000000001</v>
      </c>
      <c r="L298" s="66">
        <v>0.62044900000000003</v>
      </c>
      <c r="M298" s="66">
        <v>165</v>
      </c>
      <c r="N298" s="6" t="str">
        <f t="shared" si="9"/>
        <v>NIE</v>
      </c>
    </row>
    <row r="299" spans="1:14">
      <c r="A299" s="41"/>
      <c r="B299" s="1">
        <v>97</v>
      </c>
      <c r="C299" s="67">
        <v>0.65</v>
      </c>
      <c r="D299" s="67">
        <v>-0.42</v>
      </c>
      <c r="E299" s="67">
        <v>0.87649999999999995</v>
      </c>
      <c r="F299" s="67">
        <v>-0.75209999999999999</v>
      </c>
      <c r="G299" s="67">
        <v>1.5781099999999999</v>
      </c>
      <c r="H299" s="67">
        <v>361</v>
      </c>
      <c r="I299" s="68" t="str">
        <f t="shared" si="8"/>
        <v>NIE</v>
      </c>
      <c r="J299" s="67">
        <v>0.77786</v>
      </c>
      <c r="K299" s="67">
        <v>-0.77376800000000001</v>
      </c>
      <c r="L299" s="67">
        <v>1.24119</v>
      </c>
      <c r="M299" s="67">
        <v>137</v>
      </c>
      <c r="N299" s="6" t="str">
        <f t="shared" si="9"/>
        <v>NIE</v>
      </c>
    </row>
    <row r="300" spans="1:14">
      <c r="A300" s="41"/>
      <c r="B300" s="1">
        <v>98</v>
      </c>
      <c r="C300" s="66">
        <v>0.95</v>
      </c>
      <c r="D300" s="66">
        <v>0.36</v>
      </c>
      <c r="E300" s="66">
        <v>0.67659999999999998</v>
      </c>
      <c r="F300" s="66">
        <v>3.5999999999999997E-2</v>
      </c>
      <c r="G300" s="66">
        <v>0.934998</v>
      </c>
      <c r="H300" s="66">
        <v>382</v>
      </c>
      <c r="I300" s="68" t="str">
        <f t="shared" si="8"/>
        <v>NIE</v>
      </c>
      <c r="J300" s="66">
        <v>0.95</v>
      </c>
      <c r="K300" s="66">
        <v>0.36</v>
      </c>
      <c r="L300" s="66">
        <v>3.5965400000000001</v>
      </c>
      <c r="M300" s="66">
        <v>3</v>
      </c>
      <c r="N300" s="6" t="str">
        <f t="shared" si="9"/>
        <v>NIE</v>
      </c>
    </row>
    <row r="301" spans="1:14">
      <c r="A301" s="41"/>
      <c r="B301" s="1">
        <v>99</v>
      </c>
      <c r="C301" s="67">
        <v>-0.71</v>
      </c>
      <c r="D301" s="67">
        <v>-0.74</v>
      </c>
      <c r="E301" s="67">
        <v>-0.7661</v>
      </c>
      <c r="F301" s="67">
        <v>-0.79049999999999998</v>
      </c>
      <c r="G301" s="67">
        <v>1.2508600000000001</v>
      </c>
      <c r="H301" s="67">
        <v>162</v>
      </c>
      <c r="I301" s="68" t="str">
        <f t="shared" si="8"/>
        <v>NIE</v>
      </c>
      <c r="J301" s="67">
        <v>-0.71</v>
      </c>
      <c r="K301" s="67">
        <v>-0.74</v>
      </c>
      <c r="L301" s="67">
        <v>1.40347</v>
      </c>
      <c r="M301" s="67">
        <v>3</v>
      </c>
      <c r="N301" s="6" t="str">
        <f t="shared" si="9"/>
        <v>NIE</v>
      </c>
    </row>
    <row r="302" spans="1:14" ht="15.75" thickBot="1">
      <c r="A302" s="42"/>
      <c r="B302" s="3">
        <v>100</v>
      </c>
      <c r="C302" s="66">
        <v>0.43</v>
      </c>
      <c r="D302" s="66">
        <v>0.15</v>
      </c>
      <c r="E302" s="66">
        <v>0.73809999999999998</v>
      </c>
      <c r="F302" s="66">
        <v>-9.8100000000000007E-2</v>
      </c>
      <c r="G302" s="66">
        <v>0.95380799999999999</v>
      </c>
      <c r="H302" s="66">
        <v>291</v>
      </c>
      <c r="I302" s="68" t="str">
        <f t="shared" si="8"/>
        <v>NIE</v>
      </c>
      <c r="J302" s="66">
        <v>0.77161100000000005</v>
      </c>
      <c r="K302" s="66">
        <v>-1.21134E-2</v>
      </c>
      <c r="L302" s="66">
        <v>0.62548599999999999</v>
      </c>
      <c r="M302" s="66">
        <v>69</v>
      </c>
      <c r="N302" s="6" t="str">
        <f t="shared" si="9"/>
        <v>NIE</v>
      </c>
    </row>
  </sheetData>
  <mergeCells count="9">
    <mergeCell ref="A3:A102"/>
    <mergeCell ref="A203:A302"/>
    <mergeCell ref="A103:A202"/>
    <mergeCell ref="J1:N1"/>
    <mergeCell ref="A1:A2"/>
    <mergeCell ref="B1:B2"/>
    <mergeCell ref="E1:I1"/>
    <mergeCell ref="D1:D2"/>
    <mergeCell ref="C1:C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13" sqref="F13"/>
    </sheetView>
  </sheetViews>
  <sheetFormatPr defaultRowHeight="15"/>
  <cols>
    <col min="1" max="11" width="15.7109375" customWidth="1"/>
  </cols>
  <sheetData>
    <row r="1" spans="1:11" ht="30" customHeight="1">
      <c r="A1" s="53" t="s">
        <v>4</v>
      </c>
      <c r="B1" s="45" t="s">
        <v>5</v>
      </c>
      <c r="C1" s="46"/>
      <c r="D1" s="46"/>
      <c r="E1" s="46"/>
      <c r="F1" s="51"/>
      <c r="G1" s="45" t="s">
        <v>6</v>
      </c>
      <c r="H1" s="46"/>
      <c r="I1" s="46"/>
      <c r="J1" s="46"/>
      <c r="K1" s="47"/>
    </row>
    <row r="2" spans="1:11" ht="30" customHeight="1" thickBot="1">
      <c r="A2" s="54"/>
      <c r="B2" s="26" t="s">
        <v>8</v>
      </c>
      <c r="C2" s="7" t="s">
        <v>9</v>
      </c>
      <c r="D2" s="27" t="s">
        <v>10</v>
      </c>
      <c r="E2" s="7" t="s">
        <v>0</v>
      </c>
      <c r="F2" s="12" t="s">
        <v>12</v>
      </c>
      <c r="G2" s="26" t="s">
        <v>8</v>
      </c>
      <c r="H2" s="7" t="s">
        <v>9</v>
      </c>
      <c r="I2" s="27" t="s">
        <v>10</v>
      </c>
      <c r="J2" s="7" t="s">
        <v>0</v>
      </c>
      <c r="K2" s="8" t="s">
        <v>12</v>
      </c>
    </row>
    <row r="3" spans="1:11">
      <c r="A3" s="25">
        <v>0.01</v>
      </c>
      <c r="B3" s="9">
        <v>-1.0808706153846156E-17</v>
      </c>
      <c r="C3" s="5">
        <v>-4.256738461538462E-17</v>
      </c>
      <c r="D3" s="5">
        <v>0</v>
      </c>
      <c r="E3" s="13">
        <v>153.76923076923077</v>
      </c>
      <c r="F3" s="6">
        <v>13</v>
      </c>
      <c r="G3" s="16">
        <v>1.3884549230769236E-8</v>
      </c>
      <c r="H3" s="9">
        <v>-6.6363832307692274E-9</v>
      </c>
      <c r="I3" s="5">
        <v>5.2114889303846152E-12</v>
      </c>
      <c r="J3" s="13">
        <v>226.38461538461539</v>
      </c>
      <c r="K3" s="6">
        <v>13</v>
      </c>
    </row>
    <row r="4" spans="1:11">
      <c r="A4" s="23">
        <v>1E-3</v>
      </c>
      <c r="B4" s="10">
        <v>-5.4932714666666674E-17</v>
      </c>
      <c r="C4" s="1">
        <v>4.9902188666666677E-17</v>
      </c>
      <c r="D4" s="1">
        <v>0</v>
      </c>
      <c r="E4" s="14">
        <v>193.4</v>
      </c>
      <c r="F4" s="2">
        <v>15</v>
      </c>
      <c r="G4" s="17">
        <v>1.7853831846153845E-7</v>
      </c>
      <c r="H4" s="10">
        <v>-1.3488978672615387E-6</v>
      </c>
      <c r="I4" s="1">
        <v>4.8987850522769224E-10</v>
      </c>
      <c r="J4" s="14">
        <v>209.92307692307693</v>
      </c>
      <c r="K4" s="2">
        <v>13</v>
      </c>
    </row>
    <row r="5" spans="1:11" ht="15.75" thickBot="1">
      <c r="A5" s="24">
        <v>1E-4</v>
      </c>
      <c r="B5" s="11">
        <v>1.2041666666666666E-2</v>
      </c>
      <c r="C5" s="3">
        <v>-2.9566666666666661E-2</v>
      </c>
      <c r="D5" s="3">
        <v>0.11885240700000003</v>
      </c>
      <c r="E5" s="15">
        <v>283.5</v>
      </c>
      <c r="F5" s="4">
        <v>12</v>
      </c>
      <c r="G5" s="18">
        <v>-8.5203395050100009E-3</v>
      </c>
      <c r="H5" s="11">
        <v>8.4527855655899993E-3</v>
      </c>
      <c r="I5" s="3">
        <v>5.2996358600047477E-2</v>
      </c>
      <c r="J5" s="15">
        <v>85</v>
      </c>
      <c r="K5" s="4">
        <v>10</v>
      </c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B3" sqref="B3:C12"/>
    </sheetView>
  </sheetViews>
  <sheetFormatPr defaultRowHeight="15"/>
  <cols>
    <col min="1" max="1" width="10.7109375" customWidth="1"/>
    <col min="2" max="5" width="20.7109375" customWidth="1"/>
  </cols>
  <sheetData>
    <row r="1" spans="1:5" ht="15" customHeight="1">
      <c r="A1" s="55" t="s">
        <v>13</v>
      </c>
      <c r="B1" s="57" t="s">
        <v>5</v>
      </c>
      <c r="C1" s="58"/>
      <c r="D1" s="59" t="s">
        <v>6</v>
      </c>
      <c r="E1" s="60"/>
    </row>
    <row r="2" spans="1:5" ht="18.75" thickBot="1">
      <c r="A2" s="56"/>
      <c r="B2" s="26" t="s">
        <v>8</v>
      </c>
      <c r="C2" s="8" t="s">
        <v>9</v>
      </c>
      <c r="D2" s="26" t="s">
        <v>8</v>
      </c>
      <c r="E2" s="8" t="s">
        <v>9</v>
      </c>
    </row>
    <row r="3" spans="1:5">
      <c r="A3" s="28">
        <v>0</v>
      </c>
      <c r="B3" s="69">
        <v>-2.7755599999999997E-17</v>
      </c>
      <c r="C3" s="69">
        <v>-8.6736199999999993E-18</v>
      </c>
      <c r="D3" s="21"/>
      <c r="E3" s="20"/>
    </row>
    <row r="4" spans="1:5">
      <c r="A4" s="29">
        <v>1</v>
      </c>
      <c r="B4" s="66">
        <v>-0.77514000000000005</v>
      </c>
      <c r="C4" s="66">
        <v>0.77514000000000005</v>
      </c>
      <c r="D4" s="17"/>
      <c r="E4" s="2"/>
    </row>
    <row r="5" spans="1:5">
      <c r="A5" s="29">
        <v>2</v>
      </c>
      <c r="B5" s="67">
        <v>0.77514000000000005</v>
      </c>
      <c r="C5" s="67">
        <v>0.77514000000000005</v>
      </c>
      <c r="D5" s="17"/>
      <c r="E5" s="2"/>
    </row>
    <row r="6" spans="1:5">
      <c r="A6" s="29">
        <v>3</v>
      </c>
      <c r="B6" s="70">
        <v>1.73472E-17</v>
      </c>
      <c r="C6" s="66">
        <v>-0.77514000000000005</v>
      </c>
      <c r="D6" s="17"/>
      <c r="E6" s="2"/>
    </row>
    <row r="7" spans="1:5">
      <c r="A7" s="29">
        <v>4</v>
      </c>
      <c r="B7" s="69">
        <v>-1.8561500000000001E-16</v>
      </c>
      <c r="C7" s="67">
        <v>-0.77514000000000005</v>
      </c>
      <c r="D7" s="17"/>
      <c r="E7" s="2"/>
    </row>
    <row r="8" spans="1:5">
      <c r="A8" s="29">
        <v>5</v>
      </c>
      <c r="B8" s="70">
        <v>2.7582099999999998E-16</v>
      </c>
      <c r="C8" s="70">
        <v>-2.04697E-16</v>
      </c>
      <c r="D8" s="17"/>
      <c r="E8" s="2"/>
    </row>
    <row r="9" spans="1:5">
      <c r="A9" s="29">
        <v>6</v>
      </c>
      <c r="B9" s="67">
        <v>0.77514000000000005</v>
      </c>
      <c r="C9" s="67">
        <v>-0.77514000000000005</v>
      </c>
      <c r="D9" s="17"/>
      <c r="E9" s="2"/>
    </row>
    <row r="10" spans="1:5">
      <c r="A10" s="29">
        <v>7</v>
      </c>
      <c r="B10" s="70">
        <v>-1.8561500000000001E-16</v>
      </c>
      <c r="C10" s="66">
        <v>-0.77514000000000005</v>
      </c>
      <c r="D10" s="17"/>
      <c r="E10" s="2"/>
    </row>
    <row r="11" spans="1:5">
      <c r="A11" s="29">
        <v>8</v>
      </c>
      <c r="B11" s="67">
        <v>0.77514000000000005</v>
      </c>
      <c r="C11" s="67">
        <v>0.77514000000000005</v>
      </c>
      <c r="D11" s="17"/>
      <c r="E11" s="2"/>
    </row>
    <row r="12" spans="1:5">
      <c r="A12" s="30" t="s">
        <v>14</v>
      </c>
      <c r="B12" s="66">
        <v>-0.77514000000000005</v>
      </c>
      <c r="C12" s="66">
        <v>-0.77514000000000005</v>
      </c>
      <c r="D12" s="17"/>
      <c r="E12" s="2"/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D10" sqref="D10"/>
    </sheetView>
  </sheetViews>
  <sheetFormatPr defaultRowHeight="15"/>
  <cols>
    <col min="1" max="9" width="15.7109375" customWidth="1"/>
  </cols>
  <sheetData>
    <row r="1" spans="1:9" ht="15" customHeight="1">
      <c r="A1" s="53" t="s">
        <v>4</v>
      </c>
      <c r="B1" s="45" t="s">
        <v>5</v>
      </c>
      <c r="C1" s="46"/>
      <c r="D1" s="46"/>
      <c r="E1" s="51"/>
      <c r="F1" s="45" t="s">
        <v>6</v>
      </c>
      <c r="G1" s="46"/>
      <c r="H1" s="46"/>
      <c r="I1" s="47"/>
    </row>
    <row r="2" spans="1:9" ht="30.75" thickBot="1">
      <c r="A2" s="54"/>
      <c r="B2" s="26" t="s">
        <v>1</v>
      </c>
      <c r="C2" s="7" t="s">
        <v>3</v>
      </c>
      <c r="D2" s="27" t="s">
        <v>2</v>
      </c>
      <c r="E2" s="12" t="s">
        <v>0</v>
      </c>
      <c r="F2" s="26" t="s">
        <v>1</v>
      </c>
      <c r="G2" s="7" t="s">
        <v>3</v>
      </c>
      <c r="H2" s="27" t="s">
        <v>2</v>
      </c>
      <c r="I2" s="8" t="s">
        <v>0</v>
      </c>
    </row>
    <row r="3" spans="1:9" ht="15.75" thickBot="1">
      <c r="A3" s="31">
        <v>1E-4</v>
      </c>
      <c r="B3" s="32">
        <v>3.4775</v>
      </c>
      <c r="C3" s="33">
        <v>6.5092999999999996</v>
      </c>
      <c r="D3" s="33">
        <v>196.429</v>
      </c>
      <c r="E3" s="34">
        <v>712</v>
      </c>
      <c r="F3" s="35">
        <v>2.8520599999999998</v>
      </c>
      <c r="G3" s="32">
        <v>4.84842</v>
      </c>
      <c r="H3" s="33">
        <v>193.941</v>
      </c>
      <c r="I3" s="36">
        <v>233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3"/>
  <sheetViews>
    <sheetView workbookViewId="0">
      <selection activeCell="P36" sqref="P36"/>
    </sheetView>
  </sheetViews>
  <sheetFormatPr defaultRowHeight="15"/>
  <cols>
    <col min="1" max="5" width="12.7109375" customWidth="1"/>
  </cols>
  <sheetData>
    <row r="1" spans="1:5">
      <c r="A1" s="57" t="s">
        <v>15</v>
      </c>
      <c r="B1" s="43" t="s">
        <v>24</v>
      </c>
      <c r="C1" s="62"/>
      <c r="D1" s="43" t="s">
        <v>25</v>
      </c>
      <c r="E1" s="63"/>
    </row>
    <row r="2" spans="1:5" ht="15.75" thickBot="1">
      <c r="A2" s="61"/>
      <c r="B2" s="37" t="s">
        <v>17</v>
      </c>
      <c r="C2" s="39" t="s">
        <v>18</v>
      </c>
      <c r="D2" s="37" t="s">
        <v>17</v>
      </c>
      <c r="E2" s="38" t="s">
        <v>18</v>
      </c>
    </row>
    <row r="3" spans="1:5">
      <c r="A3" s="76">
        <v>0</v>
      </c>
      <c r="B3" s="66">
        <v>0</v>
      </c>
      <c r="C3" s="77">
        <v>0</v>
      </c>
      <c r="D3" s="66">
        <v>0</v>
      </c>
      <c r="E3" s="77">
        <v>0</v>
      </c>
    </row>
    <row r="4" spans="1:5">
      <c r="A4" s="78">
        <v>0.1</v>
      </c>
      <c r="B4" s="67">
        <v>9.7976000000000001E-3</v>
      </c>
      <c r="C4" s="79">
        <v>0.19164600000000001</v>
      </c>
      <c r="D4" s="67">
        <v>8.1183899999999996E-3</v>
      </c>
      <c r="E4" s="79">
        <v>0.15962799999999999</v>
      </c>
    </row>
    <row r="5" spans="1:5">
      <c r="A5" s="76">
        <v>0.2</v>
      </c>
      <c r="B5" s="66">
        <v>3.7503799999999997E-2</v>
      </c>
      <c r="C5" s="77">
        <v>0.35852000000000001</v>
      </c>
      <c r="D5" s="66">
        <v>3.1390700000000001E-2</v>
      </c>
      <c r="E5" s="77">
        <v>0.30321199999999998</v>
      </c>
    </row>
    <row r="6" spans="1:5">
      <c r="A6" s="78">
        <v>0.3</v>
      </c>
      <c r="B6" s="67">
        <v>8.0743899999999993E-2</v>
      </c>
      <c r="C6" s="79">
        <v>0.50265300000000002</v>
      </c>
      <c r="D6" s="67">
        <v>6.8252699999999999E-2</v>
      </c>
      <c r="E6" s="79">
        <v>0.43155399999999999</v>
      </c>
    </row>
    <row r="7" spans="1:5">
      <c r="A7" s="76">
        <v>0.4</v>
      </c>
      <c r="B7" s="66">
        <v>0.13734099999999999</v>
      </c>
      <c r="C7" s="77">
        <v>0.62596600000000002</v>
      </c>
      <c r="D7" s="66">
        <v>0.11722</v>
      </c>
      <c r="E7" s="77">
        <v>0.54545399999999999</v>
      </c>
    </row>
    <row r="8" spans="1:5">
      <c r="A8" s="78">
        <v>0.5</v>
      </c>
      <c r="B8" s="67">
        <v>0.20530399999999999</v>
      </c>
      <c r="C8" s="79">
        <v>0.73026999999999997</v>
      </c>
      <c r="D8" s="67">
        <v>0.17688899999999999</v>
      </c>
      <c r="E8" s="79">
        <v>0.64571199999999995</v>
      </c>
    </row>
    <row r="9" spans="1:5">
      <c r="A9" s="76">
        <v>0.6</v>
      </c>
      <c r="B9" s="66">
        <v>0.28281800000000001</v>
      </c>
      <c r="C9" s="77">
        <v>0.81726900000000002</v>
      </c>
      <c r="D9" s="66">
        <v>0.24593400000000001</v>
      </c>
      <c r="E9" s="77">
        <v>0.73311999999999999</v>
      </c>
    </row>
    <row r="10" spans="1:5">
      <c r="A10" s="78">
        <v>0.7</v>
      </c>
      <c r="B10" s="67">
        <v>0.36823400000000001</v>
      </c>
      <c r="C10" s="79">
        <v>0.88856199999999996</v>
      </c>
      <c r="D10" s="67">
        <v>0.32311099999999998</v>
      </c>
      <c r="E10" s="79">
        <v>0.80845900000000004</v>
      </c>
    </row>
    <row r="11" spans="1:5">
      <c r="A11" s="76">
        <v>0.8</v>
      </c>
      <c r="B11" s="66">
        <v>0.46005699999999999</v>
      </c>
      <c r="C11" s="77">
        <v>0.94564999999999999</v>
      </c>
      <c r="D11" s="66">
        <v>0.40724900000000003</v>
      </c>
      <c r="E11" s="77">
        <v>0.87249699999999997</v>
      </c>
    </row>
    <row r="12" spans="1:5">
      <c r="A12" s="78">
        <v>0.9</v>
      </c>
      <c r="B12" s="67">
        <v>0.55693800000000004</v>
      </c>
      <c r="C12" s="79">
        <v>0.98993200000000003</v>
      </c>
      <c r="D12" s="67">
        <v>0.49725799999999998</v>
      </c>
      <c r="E12" s="79">
        <v>0.925987</v>
      </c>
    </row>
    <row r="13" spans="1:5">
      <c r="A13" s="76">
        <v>1</v>
      </c>
      <c r="B13" s="66">
        <v>0.65766100000000005</v>
      </c>
      <c r="C13" s="77">
        <v>1.0227200000000001</v>
      </c>
      <c r="D13" s="66">
        <v>0.59211999999999998</v>
      </c>
      <c r="E13" s="77">
        <v>0.96966399999999997</v>
      </c>
    </row>
    <row r="14" spans="1:5">
      <c r="A14" s="78">
        <v>1.1000000000000001</v>
      </c>
      <c r="B14" s="67">
        <v>0.76113799999999998</v>
      </c>
      <c r="C14" s="79">
        <v>1.04522</v>
      </c>
      <c r="D14" s="67">
        <v>0.69088799999999995</v>
      </c>
      <c r="E14" s="79">
        <v>1.00424</v>
      </c>
    </row>
    <row r="15" spans="1:5">
      <c r="A15" s="76">
        <v>1.2</v>
      </c>
      <c r="B15" s="66">
        <v>0.86639900000000003</v>
      </c>
      <c r="C15" s="77">
        <v>1.0585599999999999</v>
      </c>
      <c r="D15" s="66">
        <v>0.79268799999999995</v>
      </c>
      <c r="E15" s="77">
        <v>1.03041</v>
      </c>
    </row>
    <row r="16" spans="1:5">
      <c r="A16" s="78">
        <v>1.3</v>
      </c>
      <c r="B16" s="67">
        <v>0.97258100000000003</v>
      </c>
      <c r="C16" s="79">
        <v>1.0638000000000001</v>
      </c>
      <c r="D16" s="67">
        <v>0.89671299999999998</v>
      </c>
      <c r="E16" s="79">
        <v>1.0488500000000001</v>
      </c>
    </row>
    <row r="17" spans="1:5">
      <c r="A17" s="76">
        <v>1.4</v>
      </c>
      <c r="B17" s="66">
        <v>1.0789200000000001</v>
      </c>
      <c r="C17" s="77">
        <v>1.0619000000000001</v>
      </c>
      <c r="D17" s="66">
        <v>1.0022200000000001</v>
      </c>
      <c r="E17" s="77">
        <v>1.06019</v>
      </c>
    </row>
    <row r="18" spans="1:5">
      <c r="A18" s="78">
        <v>1.5</v>
      </c>
      <c r="B18" s="67">
        <v>1.18475</v>
      </c>
      <c r="C18" s="79">
        <v>1.0537399999999999</v>
      </c>
      <c r="D18" s="67">
        <v>1.10853</v>
      </c>
      <c r="E18" s="79">
        <v>1.0650500000000001</v>
      </c>
    </row>
    <row r="19" spans="1:5">
      <c r="A19" s="76">
        <v>1.6</v>
      </c>
      <c r="B19" s="66">
        <v>1.28949</v>
      </c>
      <c r="C19" s="77">
        <v>1.04016</v>
      </c>
      <c r="D19" s="66">
        <v>1.2150300000000001</v>
      </c>
      <c r="E19" s="77">
        <v>1.0640400000000001</v>
      </c>
    </row>
    <row r="20" spans="1:5">
      <c r="A20" s="78">
        <v>1.7</v>
      </c>
      <c r="B20" s="67">
        <v>1.39263</v>
      </c>
      <c r="C20" s="79">
        <v>1.0219</v>
      </c>
      <c r="D20" s="67">
        <v>1.3211599999999999</v>
      </c>
      <c r="E20" s="79">
        <v>1.0577099999999999</v>
      </c>
    </row>
    <row r="21" spans="1:5">
      <c r="A21" s="76">
        <v>1.8</v>
      </c>
      <c r="B21" s="66">
        <v>1.4937400000000001</v>
      </c>
      <c r="C21" s="77">
        <v>0.99964299999999995</v>
      </c>
      <c r="D21" s="66">
        <v>1.42642</v>
      </c>
      <c r="E21" s="77">
        <v>1.0466</v>
      </c>
    </row>
    <row r="22" spans="1:5">
      <c r="A22" s="78">
        <v>1.9</v>
      </c>
      <c r="B22" s="67">
        <v>1.5924400000000001</v>
      </c>
      <c r="C22" s="79">
        <v>0.97402500000000003</v>
      </c>
      <c r="D22" s="67">
        <v>1.53034</v>
      </c>
      <c r="E22" s="79">
        <v>1.0312300000000001</v>
      </c>
    </row>
    <row r="23" spans="1:5">
      <c r="A23" s="76">
        <v>2</v>
      </c>
      <c r="B23" s="66">
        <v>1.68845</v>
      </c>
      <c r="C23" s="77">
        <v>0.94561399999999995</v>
      </c>
      <c r="D23" s="66">
        <v>1.6325400000000001</v>
      </c>
      <c r="E23" s="77">
        <v>1.0120800000000001</v>
      </c>
    </row>
    <row r="24" spans="1:5">
      <c r="A24" s="78">
        <v>2.1</v>
      </c>
      <c r="B24" s="67">
        <v>1.78149</v>
      </c>
      <c r="C24" s="79">
        <v>0.91492700000000005</v>
      </c>
      <c r="D24" s="67">
        <v>1.73265</v>
      </c>
      <c r="E24" s="79">
        <v>0.98961600000000005</v>
      </c>
    </row>
    <row r="25" spans="1:5">
      <c r="A25" s="76">
        <v>2.2000000000000002</v>
      </c>
      <c r="B25" s="66">
        <v>1.87137</v>
      </c>
      <c r="C25" s="77">
        <v>0.88243199999999999</v>
      </c>
      <c r="D25" s="66">
        <v>1.83036</v>
      </c>
      <c r="E25" s="77">
        <v>0.96425899999999998</v>
      </c>
    </row>
    <row r="26" spans="1:5">
      <c r="A26" s="78">
        <v>2.2999999999999998</v>
      </c>
      <c r="B26" s="67">
        <v>1.9579299999999999</v>
      </c>
      <c r="C26" s="79">
        <v>0.84855100000000006</v>
      </c>
      <c r="D26" s="67">
        <v>1.9254199999999999</v>
      </c>
      <c r="E26" s="79">
        <v>0.93641700000000005</v>
      </c>
    </row>
    <row r="27" spans="1:5">
      <c r="A27" s="76">
        <v>2.4</v>
      </c>
      <c r="B27" s="66">
        <v>2.0410499999999998</v>
      </c>
      <c r="C27" s="77">
        <v>0.81366000000000005</v>
      </c>
      <c r="D27" s="66">
        <v>2.0175800000000002</v>
      </c>
      <c r="E27" s="77">
        <v>0.90647</v>
      </c>
    </row>
    <row r="28" spans="1:5">
      <c r="A28" s="78">
        <v>2.5</v>
      </c>
      <c r="B28" s="67">
        <v>2.1206399999999999</v>
      </c>
      <c r="C28" s="79">
        <v>0.77809700000000004</v>
      </c>
      <c r="D28" s="67">
        <v>2.1066500000000001</v>
      </c>
      <c r="E28" s="79">
        <v>0.87477000000000005</v>
      </c>
    </row>
    <row r="29" spans="1:5">
      <c r="A29" s="76">
        <v>2.6</v>
      </c>
      <c r="B29" s="66">
        <v>2.1966600000000001</v>
      </c>
      <c r="C29" s="77">
        <v>0.74216199999999999</v>
      </c>
      <c r="D29" s="66">
        <v>2.1924800000000002</v>
      </c>
      <c r="E29" s="77">
        <v>0.84164499999999998</v>
      </c>
    </row>
    <row r="30" spans="1:5">
      <c r="A30" s="78">
        <v>2.7</v>
      </c>
      <c r="B30" s="67">
        <v>2.2690700000000001</v>
      </c>
      <c r="C30" s="79">
        <v>0.706121</v>
      </c>
      <c r="D30" s="67">
        <v>2.27494</v>
      </c>
      <c r="E30" s="79">
        <v>0.80740100000000004</v>
      </c>
    </row>
    <row r="31" spans="1:5">
      <c r="A31" s="76">
        <v>2.8</v>
      </c>
      <c r="B31" s="66">
        <v>2.3378899999999998</v>
      </c>
      <c r="C31" s="77">
        <v>0.670207</v>
      </c>
      <c r="D31" s="66">
        <v>2.3539400000000001</v>
      </c>
      <c r="E31" s="77">
        <v>0.77231799999999995</v>
      </c>
    </row>
    <row r="32" spans="1:5">
      <c r="A32" s="78">
        <v>2.9</v>
      </c>
      <c r="B32" s="67">
        <v>2.4031199999999999</v>
      </c>
      <c r="C32" s="79">
        <v>0.63462200000000002</v>
      </c>
      <c r="D32" s="67">
        <v>2.4293900000000002</v>
      </c>
      <c r="E32" s="79">
        <v>0.73665400000000003</v>
      </c>
    </row>
    <row r="33" spans="1:5">
      <c r="A33" s="76">
        <v>3</v>
      </c>
      <c r="B33" s="66">
        <v>2.4648300000000001</v>
      </c>
      <c r="C33" s="77">
        <v>0.59954499999999999</v>
      </c>
      <c r="D33" s="66">
        <v>2.5012599999999998</v>
      </c>
      <c r="E33" s="77">
        <v>0.70064700000000002</v>
      </c>
    </row>
    <row r="34" spans="1:5">
      <c r="A34" s="78">
        <v>3.1</v>
      </c>
      <c r="B34" s="67">
        <v>2.52305</v>
      </c>
      <c r="C34" s="79">
        <v>0.56512600000000002</v>
      </c>
      <c r="D34" s="67">
        <v>2.5695100000000002</v>
      </c>
      <c r="E34" s="79">
        <v>0.66451199999999999</v>
      </c>
    </row>
    <row r="35" spans="1:5">
      <c r="A35" s="76">
        <v>3.2</v>
      </c>
      <c r="B35" s="66">
        <v>2.5778799999999999</v>
      </c>
      <c r="C35" s="77">
        <v>0.53149500000000005</v>
      </c>
      <c r="D35" s="66">
        <v>2.6341600000000001</v>
      </c>
      <c r="E35" s="77">
        <v>0.62844500000000003</v>
      </c>
    </row>
    <row r="36" spans="1:5">
      <c r="A36" s="78">
        <v>3.3</v>
      </c>
      <c r="B36" s="67">
        <v>2.6293799999999998</v>
      </c>
      <c r="C36" s="79">
        <v>0.49875999999999998</v>
      </c>
      <c r="D36" s="67">
        <v>2.6952099999999999</v>
      </c>
      <c r="E36" s="79">
        <v>0.59262400000000004</v>
      </c>
    </row>
    <row r="37" spans="1:5">
      <c r="A37" s="76">
        <v>3.4</v>
      </c>
      <c r="B37" s="66">
        <v>2.6776599999999999</v>
      </c>
      <c r="C37" s="77">
        <v>0.46701100000000001</v>
      </c>
      <c r="D37" s="66">
        <v>2.7526999999999999</v>
      </c>
      <c r="E37" s="77">
        <v>0.55720599999999998</v>
      </c>
    </row>
    <row r="38" spans="1:5">
      <c r="A38" s="78">
        <v>3.5</v>
      </c>
      <c r="B38" s="67">
        <v>2.72282</v>
      </c>
      <c r="C38" s="79">
        <v>0.43631999999999999</v>
      </c>
      <c r="D38" s="67">
        <v>2.80667</v>
      </c>
      <c r="E38" s="79">
        <v>0.52233399999999996</v>
      </c>
    </row>
    <row r="39" spans="1:5">
      <c r="A39" s="76">
        <v>3.6</v>
      </c>
      <c r="B39" s="66">
        <v>2.7649599999999999</v>
      </c>
      <c r="C39" s="77">
        <v>0.40674399999999999</v>
      </c>
      <c r="D39" s="66">
        <v>2.8571900000000001</v>
      </c>
      <c r="E39" s="77">
        <v>0.48813299999999998</v>
      </c>
    </row>
    <row r="40" spans="1:5">
      <c r="A40" s="78">
        <v>3.7</v>
      </c>
      <c r="B40" s="67">
        <v>2.8042099999999999</v>
      </c>
      <c r="C40" s="79">
        <v>0.37832700000000002</v>
      </c>
      <c r="D40" s="67">
        <v>2.9043199999999998</v>
      </c>
      <c r="E40" s="79">
        <v>0.45471299999999998</v>
      </c>
    </row>
    <row r="41" spans="1:5">
      <c r="A41" s="76">
        <v>3.8</v>
      </c>
      <c r="B41" s="66">
        <v>2.8406699999999998</v>
      </c>
      <c r="C41" s="77">
        <v>0.35109899999999999</v>
      </c>
      <c r="D41" s="66">
        <v>2.9481600000000001</v>
      </c>
      <c r="E41" s="77">
        <v>0.42216900000000002</v>
      </c>
    </row>
    <row r="42" spans="1:5">
      <c r="A42" s="78">
        <v>3.9</v>
      </c>
      <c r="B42" s="67">
        <v>2.8744700000000001</v>
      </c>
      <c r="C42" s="79">
        <v>0.32507999999999998</v>
      </c>
      <c r="D42" s="67">
        <v>2.9887899999999998</v>
      </c>
      <c r="E42" s="79">
        <v>0.39058300000000001</v>
      </c>
    </row>
    <row r="43" spans="1:5">
      <c r="A43" s="76">
        <v>4</v>
      </c>
      <c r="B43" s="66">
        <v>2.9057300000000001</v>
      </c>
      <c r="C43" s="77">
        <v>0.30028100000000002</v>
      </c>
      <c r="D43" s="66">
        <v>3.0263100000000001</v>
      </c>
      <c r="E43" s="77">
        <v>0.36002499999999998</v>
      </c>
    </row>
    <row r="44" spans="1:5">
      <c r="A44" s="78">
        <v>4.0999999999999996</v>
      </c>
      <c r="B44" s="67">
        <v>2.9345699999999999</v>
      </c>
      <c r="C44" s="79">
        <v>0.276702</v>
      </c>
      <c r="D44" s="67">
        <v>3.0608300000000002</v>
      </c>
      <c r="E44" s="79">
        <v>0.33055099999999998</v>
      </c>
    </row>
    <row r="45" spans="1:5">
      <c r="A45" s="76">
        <v>4.2</v>
      </c>
      <c r="B45" s="66">
        <v>2.9611100000000001</v>
      </c>
      <c r="C45" s="77">
        <v>0.25433699999999998</v>
      </c>
      <c r="D45" s="66">
        <v>3.09246</v>
      </c>
      <c r="E45" s="77">
        <v>0.30220900000000001</v>
      </c>
    </row>
    <row r="46" spans="1:5">
      <c r="A46" s="78">
        <v>4.3</v>
      </c>
      <c r="B46" s="67">
        <v>2.9854699999999998</v>
      </c>
      <c r="C46" s="79">
        <v>0.23317299999999999</v>
      </c>
      <c r="D46" s="67">
        <v>3.1213099999999998</v>
      </c>
      <c r="E46" s="79">
        <v>0.275034</v>
      </c>
    </row>
    <row r="47" spans="1:5">
      <c r="A47" s="76">
        <v>4.4000000000000004</v>
      </c>
      <c r="B47" s="66">
        <v>3.0077799999999999</v>
      </c>
      <c r="C47" s="77">
        <v>0.21319199999999999</v>
      </c>
      <c r="D47" s="66">
        <v>3.1475</v>
      </c>
      <c r="E47" s="77">
        <v>0.249053</v>
      </c>
    </row>
    <row r="48" spans="1:5">
      <c r="A48" s="78">
        <v>4.5</v>
      </c>
      <c r="B48" s="67">
        <v>3.0281500000000001</v>
      </c>
      <c r="C48" s="79">
        <v>0.19436899999999999</v>
      </c>
      <c r="D48" s="67">
        <v>3.17116</v>
      </c>
      <c r="E48" s="79">
        <v>0.22428400000000001</v>
      </c>
    </row>
    <row r="49" spans="1:5">
      <c r="A49" s="76">
        <v>4.5999999999999996</v>
      </c>
      <c r="B49" s="66">
        <v>3.0466899999999999</v>
      </c>
      <c r="C49" s="77">
        <v>0.176678</v>
      </c>
      <c r="D49" s="66">
        <v>3.1924000000000001</v>
      </c>
      <c r="E49" s="77">
        <v>0.200738</v>
      </c>
    </row>
    <row r="50" spans="1:5">
      <c r="A50" s="78">
        <v>4.7</v>
      </c>
      <c r="B50" s="67">
        <v>3.06352</v>
      </c>
      <c r="C50" s="79">
        <v>0.16008700000000001</v>
      </c>
      <c r="D50" s="67">
        <v>3.2113499999999999</v>
      </c>
      <c r="E50" s="79">
        <v>0.17841799999999999</v>
      </c>
    </row>
    <row r="51" spans="1:5">
      <c r="A51" s="76">
        <v>4.8</v>
      </c>
      <c r="B51" s="66">
        <v>3.0787499999999999</v>
      </c>
      <c r="C51" s="77">
        <v>0.144561</v>
      </c>
      <c r="D51" s="66">
        <v>3.2281300000000002</v>
      </c>
      <c r="E51" s="77">
        <v>0.15731999999999999</v>
      </c>
    </row>
    <row r="52" spans="1:5">
      <c r="A52" s="78">
        <v>4.9000000000000004</v>
      </c>
      <c r="B52" s="67">
        <v>3.0924700000000001</v>
      </c>
      <c r="C52" s="79">
        <v>0.13006400000000001</v>
      </c>
      <c r="D52" s="67">
        <v>3.2428499999999998</v>
      </c>
      <c r="E52" s="79">
        <v>0.137436</v>
      </c>
    </row>
    <row r="53" spans="1:5">
      <c r="A53" s="76">
        <v>5</v>
      </c>
      <c r="B53" s="66">
        <v>3.1047899999999999</v>
      </c>
      <c r="C53" s="77">
        <v>0.116559</v>
      </c>
      <c r="D53" s="66">
        <v>3.2556500000000002</v>
      </c>
      <c r="E53" s="77">
        <v>0.11874899999999999</v>
      </c>
    </row>
    <row r="54" spans="1:5">
      <c r="A54" s="78">
        <v>5.0999999999999996</v>
      </c>
      <c r="B54" s="67">
        <v>3.1158100000000002</v>
      </c>
      <c r="C54" s="79">
        <v>0.104005</v>
      </c>
      <c r="D54" s="67">
        <v>3.2666400000000002</v>
      </c>
      <c r="E54" s="79">
        <v>0.101242</v>
      </c>
    </row>
    <row r="55" spans="1:5">
      <c r="A55" s="76">
        <v>5.2</v>
      </c>
      <c r="B55" s="66">
        <v>3.1256200000000001</v>
      </c>
      <c r="C55" s="77">
        <v>9.2362100000000003E-2</v>
      </c>
      <c r="D55" s="66">
        <v>3.2759399999999999</v>
      </c>
      <c r="E55" s="77">
        <v>8.4890300000000002E-2</v>
      </c>
    </row>
    <row r="56" spans="1:5">
      <c r="A56" s="78">
        <v>5.3</v>
      </c>
      <c r="B56" s="67">
        <v>3.1343100000000002</v>
      </c>
      <c r="C56" s="79">
        <v>8.1588900000000006E-2</v>
      </c>
      <c r="D56" s="67">
        <v>3.2836599999999998</v>
      </c>
      <c r="E56" s="79">
        <v>6.9667099999999996E-2</v>
      </c>
    </row>
    <row r="57" spans="1:5">
      <c r="A57" s="76">
        <v>5.4</v>
      </c>
      <c r="B57" s="66">
        <v>3.1419700000000002</v>
      </c>
      <c r="C57" s="77">
        <v>7.1644299999999994E-2</v>
      </c>
      <c r="D57" s="66">
        <v>3.2899099999999999</v>
      </c>
      <c r="E57" s="77">
        <v>5.55422E-2</v>
      </c>
    </row>
    <row r="58" spans="1:5">
      <c r="A58" s="78">
        <v>5.5</v>
      </c>
      <c r="B58" s="67">
        <v>3.1486700000000001</v>
      </c>
      <c r="C58" s="79">
        <v>6.2486899999999998E-2</v>
      </c>
      <c r="D58" s="67">
        <v>3.2948</v>
      </c>
      <c r="E58" s="79">
        <v>4.2482600000000002E-2</v>
      </c>
    </row>
    <row r="59" spans="1:5">
      <c r="A59" s="76">
        <v>5.6</v>
      </c>
      <c r="B59" s="66">
        <v>3.15449</v>
      </c>
      <c r="C59" s="77">
        <v>5.4075600000000001E-2</v>
      </c>
      <c r="D59" s="66">
        <v>3.2984399999999998</v>
      </c>
      <c r="E59" s="77">
        <v>3.0453000000000001E-2</v>
      </c>
    </row>
    <row r="60" spans="1:5">
      <c r="A60" s="78">
        <v>5.7</v>
      </c>
      <c r="B60" s="67">
        <v>3.15951</v>
      </c>
      <c r="C60" s="79">
        <v>4.6370099999999997E-2</v>
      </c>
      <c r="D60" s="67">
        <v>3.3009300000000001</v>
      </c>
      <c r="E60" s="79">
        <v>1.94164E-2</v>
      </c>
    </row>
    <row r="61" spans="1:5">
      <c r="A61" s="76">
        <v>5.8</v>
      </c>
      <c r="B61" s="66">
        <v>3.1637900000000001</v>
      </c>
      <c r="C61" s="77">
        <v>3.9330299999999999E-2</v>
      </c>
      <c r="D61" s="66">
        <v>3.3023600000000002</v>
      </c>
      <c r="E61" s="77">
        <v>9.3341199999999996E-3</v>
      </c>
    </row>
    <row r="62" spans="1:5">
      <c r="A62" s="78">
        <v>5.9</v>
      </c>
      <c r="B62" s="67">
        <v>3.1673900000000001</v>
      </c>
      <c r="C62" s="79">
        <v>3.2917299999999997E-2</v>
      </c>
      <c r="D62" s="67">
        <v>3.3028200000000001</v>
      </c>
      <c r="E62" s="79">
        <v>1.66424E-4</v>
      </c>
    </row>
    <row r="63" spans="1:5">
      <c r="A63" s="76">
        <v>6</v>
      </c>
      <c r="B63" s="66">
        <v>3.1703899999999998</v>
      </c>
      <c r="C63" s="77">
        <v>2.7093099999999998E-2</v>
      </c>
      <c r="D63" s="66">
        <v>3.3024200000000001</v>
      </c>
      <c r="E63" s="77">
        <v>-8.1273500000000002E-3</v>
      </c>
    </row>
    <row r="64" spans="1:5">
      <c r="A64" s="78">
        <v>6.1</v>
      </c>
      <c r="B64" s="67">
        <v>3.1728299999999998</v>
      </c>
      <c r="C64" s="79">
        <v>2.1820800000000001E-2</v>
      </c>
      <c r="D64" s="67">
        <v>3.3012299999999999</v>
      </c>
      <c r="E64" s="79">
        <v>-1.5588400000000001E-2</v>
      </c>
    </row>
    <row r="65" spans="1:5">
      <c r="A65" s="76">
        <v>6.2</v>
      </c>
      <c r="B65" s="66">
        <v>3.1747700000000001</v>
      </c>
      <c r="C65" s="77">
        <v>1.70645E-2</v>
      </c>
      <c r="D65" s="66">
        <v>3.2993299999999999</v>
      </c>
      <c r="E65" s="77">
        <v>-2.2258300000000002E-2</v>
      </c>
    </row>
    <row r="66" spans="1:5">
      <c r="A66" s="78">
        <v>6.3</v>
      </c>
      <c r="B66" s="67">
        <v>3.1762600000000001</v>
      </c>
      <c r="C66" s="79">
        <v>1.2789699999999999E-2</v>
      </c>
      <c r="D66" s="67">
        <v>3.2968000000000002</v>
      </c>
      <c r="E66" s="79">
        <v>-2.8178499999999999E-2</v>
      </c>
    </row>
    <row r="67" spans="1:5">
      <c r="A67" s="76">
        <v>6.4</v>
      </c>
      <c r="B67" s="66">
        <v>3.1773400000000001</v>
      </c>
      <c r="C67" s="77">
        <v>8.9633000000000004E-3</v>
      </c>
      <c r="D67" s="66">
        <v>3.29372</v>
      </c>
      <c r="E67" s="77">
        <v>-3.3390499999999997E-2</v>
      </c>
    </row>
    <row r="68" spans="1:5">
      <c r="A68" s="78">
        <v>6.5</v>
      </c>
      <c r="B68" s="67">
        <v>3.17807</v>
      </c>
      <c r="C68" s="79">
        <v>5.5534E-3</v>
      </c>
      <c r="D68" s="67">
        <v>3.2901400000000001</v>
      </c>
      <c r="E68" s="79">
        <v>-3.7935400000000001E-2</v>
      </c>
    </row>
    <row r="69" spans="1:5">
      <c r="A69" s="76">
        <v>6.6</v>
      </c>
      <c r="B69" s="66">
        <v>3.1784699999999999</v>
      </c>
      <c r="C69" s="77">
        <v>2.5295299999999999E-3</v>
      </c>
      <c r="D69" s="66">
        <v>3.2861500000000001</v>
      </c>
      <c r="E69" s="77">
        <v>-4.1853599999999998E-2</v>
      </c>
    </row>
    <row r="70" spans="1:5">
      <c r="A70" s="78">
        <v>6.7</v>
      </c>
      <c r="B70" s="67">
        <v>3.1785800000000002</v>
      </c>
      <c r="C70" s="79">
        <v>-1.3737800000000001E-4</v>
      </c>
      <c r="D70" s="67">
        <v>3.28179</v>
      </c>
      <c r="E70" s="79">
        <v>-4.5185200000000002E-2</v>
      </c>
    </row>
    <row r="71" spans="1:5">
      <c r="A71" s="76">
        <v>6.8</v>
      </c>
      <c r="B71" s="66">
        <v>3.1784500000000002</v>
      </c>
      <c r="C71" s="77">
        <v>-2.4750100000000001E-3</v>
      </c>
      <c r="D71" s="66">
        <v>3.2771300000000001</v>
      </c>
      <c r="E71" s="77">
        <v>-4.7968999999999998E-2</v>
      </c>
    </row>
    <row r="72" spans="1:5">
      <c r="A72" s="78">
        <v>6.9</v>
      </c>
      <c r="B72" s="67">
        <v>3.1781000000000001</v>
      </c>
      <c r="C72" s="79">
        <v>-4.5096399999999997E-3</v>
      </c>
      <c r="D72" s="67">
        <v>3.2722199999999999</v>
      </c>
      <c r="E72" s="79">
        <v>-5.0243200000000002E-2</v>
      </c>
    </row>
    <row r="73" spans="1:5">
      <c r="A73" s="76">
        <v>7</v>
      </c>
      <c r="B73" s="66">
        <v>3.1775600000000002</v>
      </c>
      <c r="C73" s="77">
        <v>-6.2661499999999998E-3</v>
      </c>
      <c r="D73" s="66">
        <v>3.2671000000000001</v>
      </c>
      <c r="E73" s="77">
        <v>-5.2044899999999998E-2</v>
      </c>
    </row>
    <row r="74" spans="1:5">
      <c r="A74" s="78">
        <v>7.1</v>
      </c>
      <c r="B74" s="67">
        <v>3.17685</v>
      </c>
      <c r="C74" s="79">
        <v>-7.7680800000000001E-3</v>
      </c>
      <c r="D74" s="67">
        <v>3.2618200000000002</v>
      </c>
      <c r="E74" s="79">
        <v>-5.3409999999999999E-2</v>
      </c>
    </row>
    <row r="75" spans="1:5">
      <c r="A75" s="76">
        <v>7.2</v>
      </c>
      <c r="B75" s="66">
        <v>3.1760100000000002</v>
      </c>
      <c r="C75" s="77">
        <v>-9.0375999999999998E-3</v>
      </c>
      <c r="D75" s="66">
        <v>3.2564299999999999</v>
      </c>
      <c r="E75" s="77">
        <v>-5.4373199999999997E-2</v>
      </c>
    </row>
    <row r="76" spans="1:5">
      <c r="A76" s="78">
        <v>7.3</v>
      </c>
      <c r="B76" s="67">
        <v>3.1750500000000001</v>
      </c>
      <c r="C76" s="79">
        <v>-1.00956E-2</v>
      </c>
      <c r="D76" s="67">
        <v>3.2509600000000001</v>
      </c>
      <c r="E76" s="79">
        <v>-5.49679E-2</v>
      </c>
    </row>
    <row r="77" spans="1:5">
      <c r="A77" s="76">
        <v>7.4</v>
      </c>
      <c r="B77" s="66">
        <v>3.1739999999999999</v>
      </c>
      <c r="C77" s="77">
        <v>-1.09616E-2</v>
      </c>
      <c r="D77" s="66">
        <v>3.2454499999999999</v>
      </c>
      <c r="E77" s="77">
        <v>-5.5226299999999999E-2</v>
      </c>
    </row>
    <row r="78" spans="1:5">
      <c r="A78" s="78">
        <v>7.5</v>
      </c>
      <c r="B78" s="67">
        <v>3.1728700000000001</v>
      </c>
      <c r="C78" s="79">
        <v>-1.1654100000000001E-2</v>
      </c>
      <c r="D78" s="67">
        <v>3.2399200000000001</v>
      </c>
      <c r="E78" s="79">
        <v>-5.5179199999999998E-2</v>
      </c>
    </row>
    <row r="79" spans="1:5">
      <c r="A79" s="76">
        <v>7.6</v>
      </c>
      <c r="B79" s="66">
        <v>3.1716700000000002</v>
      </c>
      <c r="C79" s="77">
        <v>-1.2190100000000001E-2</v>
      </c>
      <c r="D79" s="66">
        <v>3.2344200000000001</v>
      </c>
      <c r="E79" s="77">
        <v>-5.4856000000000002E-2</v>
      </c>
    </row>
    <row r="80" spans="1:5">
      <c r="A80" s="78">
        <v>7.7</v>
      </c>
      <c r="B80" s="67">
        <v>3.1704300000000001</v>
      </c>
      <c r="C80" s="79">
        <v>-1.2585600000000001E-2</v>
      </c>
      <c r="D80" s="67">
        <v>3.2289599999999998</v>
      </c>
      <c r="E80" s="79">
        <v>-5.4284600000000002E-2</v>
      </c>
    </row>
    <row r="81" spans="1:5">
      <c r="A81" s="76">
        <v>7.8</v>
      </c>
      <c r="B81" s="66">
        <v>3.1691600000000002</v>
      </c>
      <c r="C81" s="77">
        <v>-1.28556E-2</v>
      </c>
      <c r="D81" s="66">
        <v>3.22357</v>
      </c>
      <c r="E81" s="77">
        <v>-5.34916E-2</v>
      </c>
    </row>
    <row r="82" spans="1:5">
      <c r="A82" s="78">
        <v>7.9</v>
      </c>
      <c r="B82" s="67">
        <v>3.1678700000000002</v>
      </c>
      <c r="C82" s="79">
        <v>-1.3013800000000001E-2</v>
      </c>
      <c r="D82" s="67">
        <v>3.21827</v>
      </c>
      <c r="E82" s="79">
        <v>-5.2502199999999999E-2</v>
      </c>
    </row>
    <row r="83" spans="1:5">
      <c r="A83" s="76">
        <v>8</v>
      </c>
      <c r="B83" s="66">
        <v>3.16656</v>
      </c>
      <c r="C83" s="77">
        <v>-1.3073100000000001E-2</v>
      </c>
      <c r="D83" s="66">
        <v>3.2130800000000002</v>
      </c>
      <c r="E83" s="77">
        <v>-5.1340200000000003E-2</v>
      </c>
    </row>
    <row r="84" spans="1:5">
      <c r="A84" s="78">
        <v>8.1</v>
      </c>
      <c r="B84" s="67">
        <v>3.16526</v>
      </c>
      <c r="C84" s="79">
        <v>-1.30452E-2</v>
      </c>
      <c r="D84" s="67">
        <v>3.2080099999999998</v>
      </c>
      <c r="E84" s="79">
        <v>-5.0028000000000003E-2</v>
      </c>
    </row>
    <row r="85" spans="1:5">
      <c r="A85" s="76">
        <v>8.1999999999999993</v>
      </c>
      <c r="B85" s="66">
        <v>3.1639599999999999</v>
      </c>
      <c r="C85" s="77">
        <v>-1.2941100000000001E-2</v>
      </c>
      <c r="D85" s="66">
        <v>3.2030699999999999</v>
      </c>
      <c r="E85" s="77">
        <v>-4.8586600000000001E-2</v>
      </c>
    </row>
    <row r="86" spans="1:5">
      <c r="A86" s="78">
        <v>8.3000000000000007</v>
      </c>
      <c r="B86" s="67">
        <v>3.1626699999999999</v>
      </c>
      <c r="C86" s="79">
        <v>-1.2770800000000001E-2</v>
      </c>
      <c r="D86" s="67">
        <v>3.1982900000000001</v>
      </c>
      <c r="E86" s="79">
        <v>-4.7035500000000001E-2</v>
      </c>
    </row>
    <row r="87" spans="1:5">
      <c r="A87" s="76">
        <v>8.4</v>
      </c>
      <c r="B87" s="66">
        <v>3.1614</v>
      </c>
      <c r="C87" s="77">
        <v>-1.2543500000000001E-2</v>
      </c>
      <c r="D87" s="66">
        <v>3.19367</v>
      </c>
      <c r="E87" s="77">
        <v>-4.5393299999999998E-2</v>
      </c>
    </row>
    <row r="88" spans="1:5">
      <c r="A88" s="78">
        <v>8.5</v>
      </c>
      <c r="B88" s="67">
        <v>3.1601599999999999</v>
      </c>
      <c r="C88" s="79">
        <v>-1.2267500000000001E-2</v>
      </c>
      <c r="D88" s="67">
        <v>3.1892200000000002</v>
      </c>
      <c r="E88" s="79">
        <v>-4.3676899999999998E-2</v>
      </c>
    </row>
    <row r="89" spans="1:5">
      <c r="A89" s="76">
        <v>8.6</v>
      </c>
      <c r="B89" s="66">
        <v>3.1589499999999999</v>
      </c>
      <c r="C89" s="77">
        <v>-1.19507E-2</v>
      </c>
      <c r="D89" s="66">
        <v>3.1849400000000001</v>
      </c>
      <c r="E89" s="77">
        <v>-4.1902099999999998E-2</v>
      </c>
    </row>
    <row r="90" spans="1:5">
      <c r="A90" s="78">
        <v>8.6999999999999993</v>
      </c>
      <c r="B90" s="67">
        <v>3.1577700000000002</v>
      </c>
      <c r="C90" s="79">
        <v>-1.15999E-2</v>
      </c>
      <c r="D90" s="67">
        <v>3.1808399999999999</v>
      </c>
      <c r="E90" s="79">
        <v>-4.0083599999999997E-2</v>
      </c>
    </row>
    <row r="91" spans="1:5">
      <c r="A91" s="76">
        <v>8.8000000000000007</v>
      </c>
      <c r="B91" s="66">
        <v>3.1566299999999998</v>
      </c>
      <c r="C91" s="77">
        <v>-1.1221399999999999E-2</v>
      </c>
      <c r="D91" s="66">
        <v>3.17692</v>
      </c>
      <c r="E91" s="77">
        <v>-3.8234700000000003E-2</v>
      </c>
    </row>
    <row r="92" spans="1:5">
      <c r="A92" s="78">
        <v>8.9</v>
      </c>
      <c r="B92" s="67">
        <v>3.1555300000000002</v>
      </c>
      <c r="C92" s="79">
        <v>-1.08211E-2</v>
      </c>
      <c r="D92" s="67">
        <v>3.17319</v>
      </c>
      <c r="E92" s="79">
        <v>-3.6367799999999999E-2</v>
      </c>
    </row>
    <row r="93" spans="1:5">
      <c r="A93" s="76">
        <v>9</v>
      </c>
      <c r="B93" s="66">
        <v>3.1544699999999999</v>
      </c>
      <c r="C93" s="77">
        <v>-1.0403900000000001E-2</v>
      </c>
      <c r="D93" s="66">
        <v>3.1696499999999999</v>
      </c>
      <c r="E93" s="77">
        <v>-3.4493999999999997E-2</v>
      </c>
    </row>
    <row r="94" spans="1:5">
      <c r="A94" s="78">
        <v>9.1</v>
      </c>
      <c r="B94" s="67">
        <v>3.1534499999999999</v>
      </c>
      <c r="C94" s="79">
        <v>-9.97463E-3</v>
      </c>
      <c r="D94" s="67">
        <v>3.16629</v>
      </c>
      <c r="E94" s="79">
        <v>-3.2623600000000003E-2</v>
      </c>
    </row>
    <row r="95" spans="1:5">
      <c r="A95" s="76">
        <v>9.1999999999999993</v>
      </c>
      <c r="B95" s="66">
        <v>3.1524700000000001</v>
      </c>
      <c r="C95" s="77">
        <v>-9.5372800000000004E-3</v>
      </c>
      <c r="D95" s="66">
        <v>3.1631200000000002</v>
      </c>
      <c r="E95" s="77">
        <v>-3.0765799999999999E-2</v>
      </c>
    </row>
    <row r="96" spans="1:5">
      <c r="A96" s="78">
        <v>9.3000000000000007</v>
      </c>
      <c r="B96" s="67">
        <v>3.1515399999999998</v>
      </c>
      <c r="C96" s="79">
        <v>-9.0955600000000008E-3</v>
      </c>
      <c r="D96" s="67">
        <v>3.1601400000000002</v>
      </c>
      <c r="E96" s="79">
        <v>-2.8928800000000001E-2</v>
      </c>
    </row>
    <row r="97" spans="1:5">
      <c r="A97" s="76">
        <v>9.4</v>
      </c>
      <c r="B97" s="66">
        <v>3.1506500000000002</v>
      </c>
      <c r="C97" s="77">
        <v>-8.6526999999999993E-3</v>
      </c>
      <c r="D97" s="66">
        <v>3.15734</v>
      </c>
      <c r="E97" s="77">
        <v>-2.7119899999999999E-2</v>
      </c>
    </row>
    <row r="98" spans="1:5">
      <c r="A98" s="78">
        <v>9.5</v>
      </c>
      <c r="B98" s="67">
        <v>3.14981</v>
      </c>
      <c r="C98" s="79">
        <v>-8.2115299999999999E-3</v>
      </c>
      <c r="D98" s="67">
        <v>3.1547100000000001</v>
      </c>
      <c r="E98" s="79">
        <v>-2.5345699999999999E-2</v>
      </c>
    </row>
    <row r="99" spans="1:5">
      <c r="A99" s="76">
        <v>9.6</v>
      </c>
      <c r="B99" s="66">
        <v>3.1490100000000001</v>
      </c>
      <c r="C99" s="77">
        <v>-7.7745499999999999E-3</v>
      </c>
      <c r="D99" s="66">
        <v>3.1522700000000001</v>
      </c>
      <c r="E99" s="77">
        <v>-2.3611799999999999E-2</v>
      </c>
    </row>
    <row r="100" spans="1:5">
      <c r="A100" s="78">
        <v>9.6999999999999993</v>
      </c>
      <c r="B100" s="67">
        <v>3.1482600000000001</v>
      </c>
      <c r="C100" s="79">
        <v>-7.3439100000000004E-3</v>
      </c>
      <c r="D100" s="67">
        <v>3.1499899999999998</v>
      </c>
      <c r="E100" s="79">
        <v>-2.19233E-2</v>
      </c>
    </row>
    <row r="101" spans="1:5">
      <c r="A101" s="76">
        <v>9.8000000000000007</v>
      </c>
      <c r="B101" s="66">
        <v>3.1475399999999998</v>
      </c>
      <c r="C101" s="77">
        <v>-6.9214599999999999E-3</v>
      </c>
      <c r="D101" s="66">
        <v>3.1478799999999998</v>
      </c>
      <c r="E101" s="77">
        <v>-2.02845E-2</v>
      </c>
    </row>
    <row r="102" spans="1:5">
      <c r="A102" s="78">
        <v>9.9</v>
      </c>
      <c r="B102" s="67">
        <v>3.1468699999999998</v>
      </c>
      <c r="C102" s="79">
        <v>-6.5087699999999997E-3</v>
      </c>
      <c r="D102" s="67">
        <v>3.1459299999999999</v>
      </c>
      <c r="E102" s="79">
        <v>-1.8698800000000002E-2</v>
      </c>
    </row>
    <row r="103" spans="1:5">
      <c r="A103" s="76">
        <v>10</v>
      </c>
      <c r="B103" s="66">
        <v>3.1462400000000001</v>
      </c>
      <c r="C103" s="77">
        <v>-6.1071500000000004E-3</v>
      </c>
      <c r="D103" s="66">
        <v>3.1441400000000002</v>
      </c>
      <c r="E103" s="77">
        <v>-1.7169400000000001E-2</v>
      </c>
    </row>
    <row r="104" spans="1:5">
      <c r="A104" s="78">
        <v>10.1</v>
      </c>
      <c r="B104" s="67">
        <v>3.1456499999999998</v>
      </c>
      <c r="C104" s="79">
        <v>-5.7177E-3</v>
      </c>
      <c r="D104" s="67">
        <v>3.1425000000000001</v>
      </c>
      <c r="E104" s="79">
        <v>-1.5698500000000001E-2</v>
      </c>
    </row>
    <row r="105" spans="1:5">
      <c r="A105" s="76">
        <v>10.199999999999999</v>
      </c>
      <c r="B105" s="66">
        <v>3.1450999999999998</v>
      </c>
      <c r="C105" s="77">
        <v>-5.3413000000000002E-3</v>
      </c>
      <c r="D105" s="66">
        <v>3.141</v>
      </c>
      <c r="E105" s="77">
        <v>-1.4288199999999999E-2</v>
      </c>
    </row>
    <row r="106" spans="1:5">
      <c r="A106" s="78">
        <v>10.3</v>
      </c>
      <c r="B106" s="67">
        <v>3.1445799999999999</v>
      </c>
      <c r="C106" s="79">
        <v>-4.9786400000000003E-3</v>
      </c>
      <c r="D106" s="67">
        <v>3.13964</v>
      </c>
      <c r="E106" s="79">
        <v>-1.29398E-2</v>
      </c>
    </row>
    <row r="107" spans="1:5">
      <c r="A107" s="76">
        <v>10.4</v>
      </c>
      <c r="B107" s="66">
        <v>3.1440999999999999</v>
      </c>
      <c r="C107" s="77">
        <v>-4.6302299999999999E-3</v>
      </c>
      <c r="D107" s="66">
        <v>3.1384099999999999</v>
      </c>
      <c r="E107" s="77">
        <v>-1.16542E-2</v>
      </c>
    </row>
    <row r="108" spans="1:5">
      <c r="A108" s="78">
        <v>10.5</v>
      </c>
      <c r="B108" s="67">
        <v>3.1436500000000001</v>
      </c>
      <c r="C108" s="79">
        <v>-4.2964600000000002E-3</v>
      </c>
      <c r="D108" s="67">
        <v>3.1373000000000002</v>
      </c>
      <c r="E108" s="79">
        <v>-1.0432E-2</v>
      </c>
    </row>
    <row r="109" spans="1:5">
      <c r="A109" s="76">
        <v>10.6</v>
      </c>
      <c r="B109" s="66">
        <v>3.14324</v>
      </c>
      <c r="C109" s="77">
        <v>-3.9775599999999998E-3</v>
      </c>
      <c r="D109" s="66">
        <v>3.13632</v>
      </c>
      <c r="E109" s="77">
        <v>-9.2733799999999995E-3</v>
      </c>
    </row>
    <row r="110" spans="1:5">
      <c r="A110" s="78">
        <v>10.7</v>
      </c>
      <c r="B110" s="67">
        <v>3.1428600000000002</v>
      </c>
      <c r="C110" s="79">
        <v>-3.6736400000000002E-3</v>
      </c>
      <c r="D110" s="67">
        <v>3.1354500000000001</v>
      </c>
      <c r="E110" s="79">
        <v>-8.1781500000000003E-3</v>
      </c>
    </row>
    <row r="111" spans="1:5">
      <c r="A111" s="76">
        <v>10.8</v>
      </c>
      <c r="B111" s="66">
        <v>3.1425100000000001</v>
      </c>
      <c r="C111" s="77">
        <v>-3.3847199999999999E-3</v>
      </c>
      <c r="D111" s="66">
        <v>3.1346799999999999</v>
      </c>
      <c r="E111" s="77">
        <v>-7.1458299999999997E-3</v>
      </c>
    </row>
    <row r="112" spans="1:5">
      <c r="A112" s="78">
        <v>10.9</v>
      </c>
      <c r="B112" s="67">
        <v>3.1421800000000002</v>
      </c>
      <c r="C112" s="79">
        <v>-3.1107000000000001E-3</v>
      </c>
      <c r="D112" s="67">
        <v>3.13401</v>
      </c>
      <c r="E112" s="79">
        <v>-6.1756700000000003E-3</v>
      </c>
    </row>
    <row r="113" spans="1:5">
      <c r="A113" s="76">
        <v>11</v>
      </c>
      <c r="B113" s="66">
        <v>3.14188</v>
      </c>
      <c r="C113" s="77">
        <v>-2.8514399999999998E-3</v>
      </c>
      <c r="D113" s="66">
        <v>3.1334399999999998</v>
      </c>
      <c r="E113" s="77">
        <v>-5.2666700000000002E-3</v>
      </c>
    </row>
    <row r="114" spans="1:5">
      <c r="A114" s="78">
        <v>11.1</v>
      </c>
      <c r="B114" s="67">
        <v>3.14161</v>
      </c>
      <c r="C114" s="79">
        <v>-2.6067E-3</v>
      </c>
      <c r="D114" s="67">
        <v>3.1329600000000002</v>
      </c>
      <c r="E114" s="79">
        <v>-4.4176199999999997E-3</v>
      </c>
    </row>
    <row r="115" spans="1:5">
      <c r="A115" s="76">
        <v>11.2</v>
      </c>
      <c r="B115" s="66">
        <v>3.1413600000000002</v>
      </c>
      <c r="C115" s="77">
        <v>-2.3761799999999999E-3</v>
      </c>
      <c r="D115" s="66">
        <v>3.1325599999999998</v>
      </c>
      <c r="E115" s="77">
        <v>-3.6271200000000002E-3</v>
      </c>
    </row>
    <row r="116" spans="1:5">
      <c r="A116" s="78">
        <v>11.3</v>
      </c>
      <c r="B116" s="67">
        <v>3.14113</v>
      </c>
      <c r="C116" s="79">
        <v>-2.1595299999999998E-3</v>
      </c>
      <c r="D116" s="67">
        <v>3.1322299999999998</v>
      </c>
      <c r="E116" s="79">
        <v>-2.8936000000000001E-3</v>
      </c>
    </row>
    <row r="117" spans="1:5">
      <c r="A117" s="76">
        <v>11.4</v>
      </c>
      <c r="B117" s="66">
        <v>3.14093</v>
      </c>
      <c r="C117" s="77">
        <v>-1.9563800000000002E-3</v>
      </c>
      <c r="D117" s="66">
        <v>3.13198</v>
      </c>
      <c r="E117" s="77">
        <v>-2.21536E-3</v>
      </c>
    </row>
    <row r="118" spans="1:5">
      <c r="A118" s="78">
        <v>11.5</v>
      </c>
      <c r="B118" s="67">
        <v>3.1407400000000001</v>
      </c>
      <c r="C118" s="79">
        <v>-1.7663100000000001E-3</v>
      </c>
      <c r="D118" s="67">
        <v>3.1317900000000001</v>
      </c>
      <c r="E118" s="79">
        <v>-1.59056E-3</v>
      </c>
    </row>
    <row r="119" spans="1:5">
      <c r="A119" s="76">
        <v>11.6</v>
      </c>
      <c r="B119" s="66">
        <v>3.1405799999999999</v>
      </c>
      <c r="C119" s="77">
        <v>-1.5888499999999999E-3</v>
      </c>
      <c r="D119" s="66">
        <v>3.1316600000000001</v>
      </c>
      <c r="E119" s="77">
        <v>-1.0172899999999999E-3</v>
      </c>
    </row>
    <row r="120" spans="1:5">
      <c r="A120" s="78">
        <v>11.7</v>
      </c>
      <c r="B120" s="67">
        <v>3.1404200000000002</v>
      </c>
      <c r="C120" s="79">
        <v>-1.42355E-3</v>
      </c>
      <c r="D120" s="67">
        <v>3.13158</v>
      </c>
      <c r="E120" s="79">
        <v>-4.9355299999999998E-4</v>
      </c>
    </row>
    <row r="121" spans="1:5">
      <c r="A121" s="76">
        <v>11.8</v>
      </c>
      <c r="B121" s="66">
        <v>3.1402899999999998</v>
      </c>
      <c r="C121" s="77">
        <v>-1.26991E-3</v>
      </c>
      <c r="D121" s="66">
        <v>3.1315599999999999</v>
      </c>
      <c r="E121" s="80">
        <v>-1.7276299999999999E-5</v>
      </c>
    </row>
    <row r="122" spans="1:5">
      <c r="A122" s="78">
        <v>11.9</v>
      </c>
      <c r="B122" s="67">
        <v>3.1401699999999999</v>
      </c>
      <c r="C122" s="79">
        <v>-1.12743E-3</v>
      </c>
      <c r="D122" s="67">
        <v>3.13158</v>
      </c>
      <c r="E122" s="79">
        <v>4.13643E-4</v>
      </c>
    </row>
    <row r="123" spans="1:5">
      <c r="A123" s="76">
        <v>12</v>
      </c>
      <c r="B123" s="66">
        <v>3.1400600000000001</v>
      </c>
      <c r="C123" s="77">
        <v>-9.9562299999999995E-4</v>
      </c>
      <c r="D123" s="66">
        <v>3.13164</v>
      </c>
      <c r="E123" s="77">
        <v>8.0134E-4</v>
      </c>
    </row>
    <row r="124" spans="1:5">
      <c r="A124" s="78">
        <v>12.1</v>
      </c>
      <c r="B124" s="67">
        <v>3.1399699999999999</v>
      </c>
      <c r="C124" s="79">
        <v>-8.7396499999999998E-4</v>
      </c>
      <c r="D124" s="67">
        <v>3.1317400000000002</v>
      </c>
      <c r="E124" s="79">
        <v>1.1479699999999999E-3</v>
      </c>
    </row>
    <row r="125" spans="1:5">
      <c r="A125" s="76">
        <v>12.2</v>
      </c>
      <c r="B125" s="66">
        <v>3.1398899999999998</v>
      </c>
      <c r="C125" s="77">
        <v>-7.61953E-4</v>
      </c>
      <c r="D125" s="66">
        <v>3.1318700000000002</v>
      </c>
      <c r="E125" s="77">
        <v>1.45568E-3</v>
      </c>
    </row>
    <row r="126" spans="1:5">
      <c r="A126" s="78">
        <v>12.3</v>
      </c>
      <c r="B126" s="67">
        <v>3.1398199999999998</v>
      </c>
      <c r="C126" s="79">
        <v>-6.5908199999999996E-4</v>
      </c>
      <c r="D126" s="67">
        <v>3.1320299999999999</v>
      </c>
      <c r="E126" s="79">
        <v>1.72663E-3</v>
      </c>
    </row>
    <row r="127" spans="1:5">
      <c r="A127" s="76">
        <v>12.4</v>
      </c>
      <c r="B127" s="66">
        <v>3.1397599999999999</v>
      </c>
      <c r="C127" s="77">
        <v>-5.6485499999999996E-4</v>
      </c>
      <c r="D127" s="66">
        <v>3.1322100000000002</v>
      </c>
      <c r="E127" s="77">
        <v>1.9629500000000002E-3</v>
      </c>
    </row>
    <row r="128" spans="1:5">
      <c r="A128" s="78">
        <v>12.5</v>
      </c>
      <c r="B128" s="67">
        <v>3.13971</v>
      </c>
      <c r="C128" s="79">
        <v>-4.78784E-4</v>
      </c>
      <c r="D128" s="67">
        <v>3.1324200000000002</v>
      </c>
      <c r="E128" s="79">
        <v>2.16673E-3</v>
      </c>
    </row>
    <row r="129" spans="1:5">
      <c r="A129" s="76">
        <v>12.6</v>
      </c>
      <c r="B129" s="66">
        <v>3.1396600000000001</v>
      </c>
      <c r="C129" s="77">
        <v>-4.0038900000000002E-4</v>
      </c>
      <c r="D129" s="66">
        <v>3.1326399999999999</v>
      </c>
      <c r="E129" s="77">
        <v>2.3400500000000002E-3</v>
      </c>
    </row>
    <row r="130" spans="1:5">
      <c r="A130" s="78">
        <v>12.7</v>
      </c>
      <c r="B130" s="67">
        <v>3.1396199999999999</v>
      </c>
      <c r="C130" s="79">
        <v>-3.2920300000000003E-4</v>
      </c>
      <c r="D130" s="67">
        <v>3.1328800000000001</v>
      </c>
      <c r="E130" s="79">
        <v>2.4849300000000002E-3</v>
      </c>
    </row>
    <row r="131" spans="1:5">
      <c r="A131" s="76">
        <v>12.8</v>
      </c>
      <c r="B131" s="66">
        <v>3.1396000000000002</v>
      </c>
      <c r="C131" s="77">
        <v>-2.6477400000000001E-4</v>
      </c>
      <c r="D131" s="66">
        <v>3.13314</v>
      </c>
      <c r="E131" s="77">
        <v>2.60334E-3</v>
      </c>
    </row>
    <row r="132" spans="1:5">
      <c r="A132" s="78">
        <v>12.9</v>
      </c>
      <c r="B132" s="67">
        <v>3.13957</v>
      </c>
      <c r="C132" s="79">
        <v>-2.06663E-4</v>
      </c>
      <c r="D132" s="67">
        <v>3.1334</v>
      </c>
      <c r="E132" s="79">
        <v>2.6972200000000002E-3</v>
      </c>
    </row>
    <row r="133" spans="1:5">
      <c r="A133" s="76">
        <v>13</v>
      </c>
      <c r="B133" s="66">
        <v>3.1395499999999998</v>
      </c>
      <c r="C133" s="77">
        <v>-1.54446E-4</v>
      </c>
      <c r="D133" s="66">
        <v>3.13368</v>
      </c>
      <c r="E133" s="77">
        <v>2.7684200000000002E-3</v>
      </c>
    </row>
    <row r="134" spans="1:5">
      <c r="A134" s="78">
        <v>13.1</v>
      </c>
      <c r="B134" s="67">
        <v>3.1395400000000002</v>
      </c>
      <c r="C134" s="79">
        <v>-1.07717E-4</v>
      </c>
      <c r="D134" s="67">
        <v>3.1339600000000001</v>
      </c>
      <c r="E134" s="79">
        <v>2.8187500000000001E-3</v>
      </c>
    </row>
    <row r="135" spans="1:5">
      <c r="A135" s="76">
        <v>13.2</v>
      </c>
      <c r="B135" s="66">
        <v>3.1395300000000002</v>
      </c>
      <c r="C135" s="80">
        <v>-6.6085400000000003E-5</v>
      </c>
      <c r="D135" s="66">
        <v>3.1342400000000001</v>
      </c>
      <c r="E135" s="77">
        <v>2.84994E-3</v>
      </c>
    </row>
    <row r="136" spans="1:5">
      <c r="A136" s="78">
        <v>13.3</v>
      </c>
      <c r="B136" s="67">
        <v>3.1395300000000002</v>
      </c>
      <c r="C136" s="81">
        <v>-2.9176999999999999E-5</v>
      </c>
      <c r="D136" s="67">
        <v>3.1345299999999998</v>
      </c>
      <c r="E136" s="79">
        <v>2.8636600000000001E-3</v>
      </c>
    </row>
    <row r="137" spans="1:5">
      <c r="A137" s="76">
        <v>13.4</v>
      </c>
      <c r="B137" s="66">
        <v>3.1395300000000002</v>
      </c>
      <c r="C137" s="80">
        <v>3.3640899999999998E-6</v>
      </c>
      <c r="D137" s="66">
        <v>3.1348099999999999</v>
      </c>
      <c r="E137" s="77">
        <v>2.8614999999999999E-3</v>
      </c>
    </row>
    <row r="138" spans="1:5">
      <c r="A138" s="78">
        <v>13.5</v>
      </c>
      <c r="B138" s="67">
        <v>3.1395300000000002</v>
      </c>
      <c r="C138" s="81">
        <v>3.18771E-5</v>
      </c>
      <c r="D138" s="67">
        <v>3.1351</v>
      </c>
      <c r="E138" s="79">
        <v>2.8449999999999999E-3</v>
      </c>
    </row>
    <row r="139" spans="1:5">
      <c r="A139" s="76">
        <v>13.6</v>
      </c>
      <c r="B139" s="66">
        <v>3.1395300000000002</v>
      </c>
      <c r="C139" s="80">
        <v>5.6683900000000001E-5</v>
      </c>
      <c r="D139" s="66">
        <v>3.1353800000000001</v>
      </c>
      <c r="E139" s="77">
        <v>2.8156000000000001E-3</v>
      </c>
    </row>
    <row r="140" spans="1:5">
      <c r="A140" s="78">
        <v>13.7</v>
      </c>
      <c r="B140" s="67">
        <v>3.1395400000000002</v>
      </c>
      <c r="C140" s="81">
        <v>7.8089499999999998E-5</v>
      </c>
      <c r="D140" s="67">
        <v>3.1356600000000001</v>
      </c>
      <c r="E140" s="79">
        <v>2.7746899999999998E-3</v>
      </c>
    </row>
    <row r="141" spans="1:5">
      <c r="A141" s="76">
        <v>13.8</v>
      </c>
      <c r="B141" s="66">
        <v>3.1395499999999998</v>
      </c>
      <c r="C141" s="80">
        <v>9.6382E-5</v>
      </c>
      <c r="D141" s="66">
        <v>3.1359400000000002</v>
      </c>
      <c r="E141" s="77">
        <v>2.7235699999999998E-3</v>
      </c>
    </row>
    <row r="142" spans="1:5">
      <c r="A142" s="78">
        <v>13.9</v>
      </c>
      <c r="B142" s="67">
        <v>3.1395599999999999</v>
      </c>
      <c r="C142" s="79">
        <v>1.11833E-4</v>
      </c>
      <c r="D142" s="67">
        <v>3.1362100000000002</v>
      </c>
      <c r="E142" s="79">
        <v>2.6634699999999998E-3</v>
      </c>
    </row>
    <row r="143" spans="1:5">
      <c r="A143" s="76">
        <v>14</v>
      </c>
      <c r="B143" s="66">
        <v>3.13957</v>
      </c>
      <c r="C143" s="77">
        <v>1.2469799999999999E-4</v>
      </c>
      <c r="D143" s="66">
        <v>3.1364700000000001</v>
      </c>
      <c r="E143" s="77">
        <v>2.5955700000000002E-3</v>
      </c>
    </row>
    <row r="144" spans="1:5">
      <c r="A144" s="78">
        <v>14.1</v>
      </c>
      <c r="B144" s="67">
        <v>3.13958</v>
      </c>
      <c r="C144" s="79">
        <v>1.3521799999999999E-4</v>
      </c>
      <c r="D144" s="67">
        <v>3.13672</v>
      </c>
      <c r="E144" s="79">
        <v>2.5209400000000002E-3</v>
      </c>
    </row>
    <row r="145" spans="1:5">
      <c r="A145" s="76">
        <v>14.2</v>
      </c>
      <c r="B145" s="66">
        <v>3.1396000000000002</v>
      </c>
      <c r="C145" s="77">
        <v>1.43616E-4</v>
      </c>
      <c r="D145" s="66">
        <v>3.1369699999999998</v>
      </c>
      <c r="E145" s="77">
        <v>2.4406100000000002E-3</v>
      </c>
    </row>
    <row r="146" spans="1:5">
      <c r="A146" s="78">
        <v>14.3</v>
      </c>
      <c r="B146" s="67">
        <v>3.1396099999999998</v>
      </c>
      <c r="C146" s="79">
        <v>1.5010300000000001E-4</v>
      </c>
      <c r="D146" s="67">
        <v>3.1372100000000001</v>
      </c>
      <c r="E146" s="79">
        <v>2.3555300000000002E-3</v>
      </c>
    </row>
    <row r="147" spans="1:5">
      <c r="A147" s="76">
        <v>14.4</v>
      </c>
      <c r="B147" s="66">
        <v>3.1396299999999999</v>
      </c>
      <c r="C147" s="77">
        <v>1.5487399999999999E-4</v>
      </c>
      <c r="D147" s="66">
        <v>3.1374399999999998</v>
      </c>
      <c r="E147" s="77">
        <v>2.2665900000000002E-3</v>
      </c>
    </row>
    <row r="148" spans="1:5">
      <c r="A148" s="78">
        <v>14.5</v>
      </c>
      <c r="B148" s="67">
        <v>3.13964</v>
      </c>
      <c r="C148" s="79">
        <v>1.5811199999999999E-4</v>
      </c>
      <c r="D148" s="67">
        <v>3.13767</v>
      </c>
      <c r="E148" s="79">
        <v>2.17461E-3</v>
      </c>
    </row>
    <row r="149" spans="1:5">
      <c r="A149" s="76">
        <v>14.6</v>
      </c>
      <c r="B149" s="66">
        <v>3.1396600000000001</v>
      </c>
      <c r="C149" s="77">
        <v>1.5998600000000001E-4</v>
      </c>
      <c r="D149" s="66">
        <v>3.13788</v>
      </c>
      <c r="E149" s="77">
        <v>2.0803499999999999E-3</v>
      </c>
    </row>
    <row r="150" spans="1:5">
      <c r="A150" s="78">
        <v>14.7</v>
      </c>
      <c r="B150" s="67">
        <v>3.1396700000000002</v>
      </c>
      <c r="C150" s="79">
        <v>1.6065200000000001E-4</v>
      </c>
      <c r="D150" s="67">
        <v>3.13808</v>
      </c>
      <c r="E150" s="79">
        <v>1.9845000000000002E-3</v>
      </c>
    </row>
    <row r="151" spans="1:5">
      <c r="A151" s="76">
        <v>14.8</v>
      </c>
      <c r="B151" s="66">
        <v>3.1396899999999999</v>
      </c>
      <c r="C151" s="77">
        <v>1.6025499999999999E-4</v>
      </c>
      <c r="D151" s="66">
        <v>3.13828</v>
      </c>
      <c r="E151" s="77">
        <v>1.8877E-3</v>
      </c>
    </row>
    <row r="152" spans="1:5">
      <c r="A152" s="78">
        <v>14.9</v>
      </c>
      <c r="B152" s="67">
        <v>3.13971</v>
      </c>
      <c r="C152" s="79">
        <v>1.5892799999999999E-4</v>
      </c>
      <c r="D152" s="67">
        <v>3.1384599999999998</v>
      </c>
      <c r="E152" s="79">
        <v>1.79054E-3</v>
      </c>
    </row>
    <row r="153" spans="1:5">
      <c r="A153" s="76">
        <v>15</v>
      </c>
      <c r="B153" s="66">
        <v>3.1397200000000001</v>
      </c>
      <c r="C153" s="77">
        <v>1.56794E-4</v>
      </c>
      <c r="D153" s="66">
        <v>3.13863</v>
      </c>
      <c r="E153" s="77">
        <v>1.69355E-3</v>
      </c>
    </row>
    <row r="154" spans="1:5">
      <c r="A154" s="78">
        <v>15.1</v>
      </c>
      <c r="B154" s="67">
        <v>3.1397400000000002</v>
      </c>
      <c r="C154" s="79">
        <v>1.5396499999999999E-4</v>
      </c>
      <c r="D154" s="67">
        <v>3.1387999999999998</v>
      </c>
      <c r="E154" s="79">
        <v>1.5971900000000001E-3</v>
      </c>
    </row>
    <row r="155" spans="1:5">
      <c r="A155" s="76">
        <v>15.2</v>
      </c>
      <c r="B155" s="66">
        <v>3.1397499999999998</v>
      </c>
      <c r="C155" s="77">
        <v>1.50545E-4</v>
      </c>
      <c r="D155" s="66">
        <v>3.1389499999999999</v>
      </c>
      <c r="E155" s="77">
        <v>1.50191E-3</v>
      </c>
    </row>
    <row r="156" spans="1:5">
      <c r="A156" s="78">
        <v>15.3</v>
      </c>
      <c r="B156" s="67">
        <v>3.1397699999999999</v>
      </c>
      <c r="C156" s="79">
        <v>1.4662599999999999E-4</v>
      </c>
      <c r="D156" s="67">
        <v>3.1391</v>
      </c>
      <c r="E156" s="79">
        <v>1.4080799999999999E-3</v>
      </c>
    </row>
    <row r="157" spans="1:5">
      <c r="A157" s="76">
        <v>15.4</v>
      </c>
      <c r="B157" s="66">
        <v>3.13978</v>
      </c>
      <c r="C157" s="77">
        <v>1.4229499999999999E-4</v>
      </c>
      <c r="D157" s="66">
        <v>3.13923</v>
      </c>
      <c r="E157" s="77">
        <v>1.3160400000000001E-3</v>
      </c>
    </row>
    <row r="158" spans="1:5">
      <c r="A158" s="78">
        <v>15.5</v>
      </c>
      <c r="B158" s="67">
        <v>3.1398000000000001</v>
      </c>
      <c r="C158" s="79">
        <v>1.3762799999999999E-4</v>
      </c>
      <c r="D158" s="67">
        <v>3.1393599999999999</v>
      </c>
      <c r="E158" s="79">
        <v>1.22609E-3</v>
      </c>
    </row>
    <row r="159" spans="1:5">
      <c r="A159" s="76">
        <v>15.6</v>
      </c>
      <c r="B159" s="66">
        <v>3.1398100000000002</v>
      </c>
      <c r="C159" s="77">
        <v>1.32695E-4</v>
      </c>
      <c r="D159" s="66">
        <v>3.1394799999999998</v>
      </c>
      <c r="E159" s="77">
        <v>1.1384800000000001E-3</v>
      </c>
    </row>
    <row r="160" spans="1:5">
      <c r="A160" s="78">
        <v>15.7</v>
      </c>
      <c r="B160" s="67">
        <v>3.1398199999999998</v>
      </c>
      <c r="C160" s="79">
        <v>1.2756000000000001E-4</v>
      </c>
      <c r="D160" s="67">
        <v>3.1395900000000001</v>
      </c>
      <c r="E160" s="79">
        <v>1.05345E-3</v>
      </c>
    </row>
    <row r="161" spans="1:5">
      <c r="A161" s="76">
        <v>15.8</v>
      </c>
      <c r="B161" s="66">
        <v>3.13984</v>
      </c>
      <c r="C161" s="77">
        <v>1.22278E-4</v>
      </c>
      <c r="D161" s="66">
        <v>3.1396899999999999</v>
      </c>
      <c r="E161" s="77">
        <v>9.7117000000000004E-4</v>
      </c>
    </row>
    <row r="162" spans="1:5">
      <c r="A162" s="78">
        <v>15.9</v>
      </c>
      <c r="B162" s="67">
        <v>3.13985</v>
      </c>
      <c r="C162" s="79">
        <v>1.1689899999999999E-4</v>
      </c>
      <c r="D162" s="67">
        <v>3.13978</v>
      </c>
      <c r="E162" s="79">
        <v>8.9180399999999995E-4</v>
      </c>
    </row>
    <row r="163" spans="1:5">
      <c r="A163" s="76">
        <v>16</v>
      </c>
      <c r="B163" s="66">
        <v>3.1398600000000001</v>
      </c>
      <c r="C163" s="77">
        <v>1.1147E-4</v>
      </c>
      <c r="D163" s="66">
        <v>3.1398700000000002</v>
      </c>
      <c r="E163" s="77">
        <v>8.1547399999999995E-4</v>
      </c>
    </row>
    <row r="164" spans="1:5">
      <c r="A164" s="78">
        <v>16.100000000000001</v>
      </c>
      <c r="B164" s="67">
        <v>3.1398700000000002</v>
      </c>
      <c r="C164" s="79">
        <v>1.06028E-4</v>
      </c>
      <c r="D164" s="67">
        <v>3.1399499999999998</v>
      </c>
      <c r="E164" s="79">
        <v>7.4228100000000002E-4</v>
      </c>
    </row>
    <row r="165" spans="1:5">
      <c r="A165" s="76">
        <v>16.2</v>
      </c>
      <c r="B165" s="66">
        <v>3.1398799999999998</v>
      </c>
      <c r="C165" s="77">
        <v>1.00609E-4</v>
      </c>
      <c r="D165" s="66">
        <v>3.1400199999999998</v>
      </c>
      <c r="E165" s="77">
        <v>6.7229599999999996E-4</v>
      </c>
    </row>
    <row r="166" spans="1:5">
      <c r="A166" s="78">
        <v>16.3</v>
      </c>
      <c r="B166" s="67">
        <v>3.1398899999999998</v>
      </c>
      <c r="C166" s="81">
        <v>9.5242799999999996E-5</v>
      </c>
      <c r="D166" s="67">
        <v>3.1400800000000002</v>
      </c>
      <c r="E166" s="79">
        <v>6.0557000000000004E-4</v>
      </c>
    </row>
    <row r="167" spans="1:5">
      <c r="A167" s="76">
        <v>16.399999999999999</v>
      </c>
      <c r="B167" s="66">
        <v>3.1398999999999999</v>
      </c>
      <c r="C167" s="80">
        <v>8.9956000000000004E-5</v>
      </c>
      <c r="D167" s="66">
        <v>3.1401400000000002</v>
      </c>
      <c r="E167" s="77">
        <v>5.4213099999999995E-4</v>
      </c>
    </row>
    <row r="168" spans="1:5">
      <c r="A168" s="78">
        <v>16.5</v>
      </c>
      <c r="B168" s="67">
        <v>3.13991</v>
      </c>
      <c r="C168" s="81">
        <v>8.4771000000000005E-5</v>
      </c>
      <c r="D168" s="67">
        <v>3.14019</v>
      </c>
      <c r="E168" s="79">
        <v>4.8198700000000002E-4</v>
      </c>
    </row>
    <row r="169" spans="1:5">
      <c r="A169" s="76">
        <v>16.600000000000001</v>
      </c>
      <c r="B169" s="66">
        <v>3.13992</v>
      </c>
      <c r="C169" s="80">
        <v>7.9706800000000001E-5</v>
      </c>
      <c r="D169" s="66">
        <v>3.1402399999999999</v>
      </c>
      <c r="E169" s="77">
        <v>4.2513199999999999E-4</v>
      </c>
    </row>
    <row r="170" spans="1:5">
      <c r="A170" s="78">
        <v>16.7</v>
      </c>
      <c r="B170" s="67">
        <v>3.13992</v>
      </c>
      <c r="C170" s="81">
        <v>7.4779599999999998E-5</v>
      </c>
      <c r="D170" s="67">
        <v>3.1402800000000002</v>
      </c>
      <c r="E170" s="79">
        <v>3.7153899999999999E-4</v>
      </c>
    </row>
    <row r="171" spans="1:5">
      <c r="A171" s="76">
        <v>16.8</v>
      </c>
      <c r="B171" s="66">
        <v>3.1399300000000001</v>
      </c>
      <c r="C171" s="80">
        <v>7.0002500000000006E-5</v>
      </c>
      <c r="D171" s="66">
        <v>3.1403099999999999</v>
      </c>
      <c r="E171" s="77">
        <v>3.2117000000000002E-4</v>
      </c>
    </row>
    <row r="172" spans="1:5">
      <c r="A172" s="78">
        <v>16.899999999999999</v>
      </c>
      <c r="B172" s="67">
        <v>3.1399400000000002</v>
      </c>
      <c r="C172" s="81">
        <v>6.5386200000000001E-5</v>
      </c>
      <c r="D172" s="67">
        <v>3.1403400000000001</v>
      </c>
      <c r="E172" s="79">
        <v>2.7397400000000002E-4</v>
      </c>
    </row>
    <row r="173" spans="1:5">
      <c r="A173" s="76">
        <v>17</v>
      </c>
      <c r="B173" s="66">
        <v>3.1399400000000002</v>
      </c>
      <c r="C173" s="80">
        <v>6.0939200000000001E-5</v>
      </c>
      <c r="D173" s="66">
        <v>3.1403599999999998</v>
      </c>
      <c r="E173" s="77">
        <v>2.2988800000000001E-4</v>
      </c>
    </row>
    <row r="174" spans="1:5">
      <c r="A174" s="78">
        <v>17.100000000000001</v>
      </c>
      <c r="B174" s="67">
        <v>3.1399499999999998</v>
      </c>
      <c r="C174" s="81">
        <v>5.66677E-5</v>
      </c>
      <c r="D174" s="67">
        <v>3.14039</v>
      </c>
      <c r="E174" s="79">
        <v>1.88839E-4</v>
      </c>
    </row>
    <row r="175" spans="1:5">
      <c r="A175" s="76">
        <v>17.2</v>
      </c>
      <c r="B175" s="66">
        <v>3.1399599999999999</v>
      </c>
      <c r="C175" s="80">
        <v>5.25762E-5</v>
      </c>
      <c r="D175" s="66">
        <v>3.1404000000000001</v>
      </c>
      <c r="E175" s="77">
        <v>1.5074700000000001E-4</v>
      </c>
    </row>
    <row r="176" spans="1:5">
      <c r="A176" s="78">
        <v>17.3</v>
      </c>
      <c r="B176" s="67">
        <v>3.1399599999999999</v>
      </c>
      <c r="C176" s="81">
        <v>4.8667500000000001E-5</v>
      </c>
      <c r="D176" s="67">
        <v>3.1404200000000002</v>
      </c>
      <c r="E176" s="79">
        <v>1.15523E-4</v>
      </c>
    </row>
    <row r="177" spans="1:5">
      <c r="A177" s="76">
        <v>17.399999999999999</v>
      </c>
      <c r="B177" s="66">
        <v>3.1399699999999999</v>
      </c>
      <c r="C177" s="80">
        <v>4.4943E-5</v>
      </c>
      <c r="D177" s="66">
        <v>3.1404299999999998</v>
      </c>
      <c r="E177" s="80">
        <v>8.30719E-5</v>
      </c>
    </row>
    <row r="178" spans="1:5">
      <c r="A178" s="78">
        <v>17.5</v>
      </c>
      <c r="B178" s="67">
        <v>3.1399699999999999</v>
      </c>
      <c r="C178" s="81">
        <v>4.1402700000000003E-5</v>
      </c>
      <c r="D178" s="67">
        <v>3.1404299999999998</v>
      </c>
      <c r="E178" s="81">
        <v>5.3294999999999997E-5</v>
      </c>
    </row>
    <row r="179" spans="1:5">
      <c r="A179" s="76">
        <v>17.600000000000001</v>
      </c>
      <c r="B179" s="66">
        <v>3.1399699999999999</v>
      </c>
      <c r="C179" s="80">
        <v>3.80456E-5</v>
      </c>
      <c r="D179" s="66">
        <v>3.1404399999999999</v>
      </c>
      <c r="E179" s="80">
        <v>2.6088399999999999E-5</v>
      </c>
    </row>
    <row r="180" spans="1:5">
      <c r="A180" s="78">
        <v>17.7</v>
      </c>
      <c r="B180" s="67">
        <v>3.13998</v>
      </c>
      <c r="C180" s="81">
        <v>3.4869600000000002E-5</v>
      </c>
      <c r="D180" s="67">
        <v>3.1404399999999999</v>
      </c>
      <c r="E180" s="81">
        <v>1.3450799999999999E-6</v>
      </c>
    </row>
    <row r="181" spans="1:5">
      <c r="A181" s="76">
        <v>17.8</v>
      </c>
      <c r="B181" s="66">
        <v>3.13998</v>
      </c>
      <c r="C181" s="80">
        <v>3.1871800000000002E-5</v>
      </c>
      <c r="D181" s="66">
        <v>3.1404399999999999</v>
      </c>
      <c r="E181" s="80">
        <v>-2.1044100000000001E-5</v>
      </c>
    </row>
    <row r="182" spans="1:5">
      <c r="A182" s="78">
        <v>17.899999999999999</v>
      </c>
      <c r="B182" s="67">
        <v>3.13998</v>
      </c>
      <c r="C182" s="81">
        <v>2.9048599999999998E-5</v>
      </c>
      <c r="D182" s="67">
        <v>3.1404299999999998</v>
      </c>
      <c r="E182" s="81">
        <v>-4.1189899999999997E-5</v>
      </c>
    </row>
    <row r="183" spans="1:5">
      <c r="A183" s="76">
        <v>18</v>
      </c>
      <c r="B183" s="66">
        <v>3.1399900000000001</v>
      </c>
      <c r="C183" s="80">
        <v>2.6395699999999999E-5</v>
      </c>
      <c r="D183" s="66">
        <v>3.1404299999999998</v>
      </c>
      <c r="E183" s="80">
        <v>-5.9203999999999998E-5</v>
      </c>
    </row>
    <row r="184" spans="1:5">
      <c r="A184" s="78">
        <v>18.100000000000001</v>
      </c>
      <c r="B184" s="67">
        <v>3.1399900000000001</v>
      </c>
      <c r="C184" s="81">
        <v>2.3908299999999999E-5</v>
      </c>
      <c r="D184" s="67">
        <v>3.1404200000000002</v>
      </c>
      <c r="E184" s="81">
        <v>-7.5197999999999994E-5</v>
      </c>
    </row>
    <row r="185" spans="1:5">
      <c r="A185" s="76">
        <v>18.2</v>
      </c>
      <c r="B185" s="66">
        <v>3.1399900000000001</v>
      </c>
      <c r="C185" s="80">
        <v>2.1581199999999999E-5</v>
      </c>
      <c r="D185" s="66">
        <v>3.1404100000000001</v>
      </c>
      <c r="E185" s="80">
        <v>-8.92835E-5</v>
      </c>
    </row>
    <row r="186" spans="1:5">
      <c r="A186" s="78">
        <v>18.3</v>
      </c>
      <c r="B186" s="67">
        <v>3.1399900000000001</v>
      </c>
      <c r="C186" s="81">
        <v>1.94089E-5</v>
      </c>
      <c r="D186" s="67">
        <v>3.1404000000000001</v>
      </c>
      <c r="E186" s="79">
        <v>-1.0157099999999999E-4</v>
      </c>
    </row>
    <row r="187" spans="1:5">
      <c r="A187" s="76">
        <v>18.399999999999999</v>
      </c>
      <c r="B187" s="66">
        <v>3.1399900000000001</v>
      </c>
      <c r="C187" s="80">
        <v>1.7385699999999999E-5</v>
      </c>
      <c r="D187" s="66">
        <v>3.14039</v>
      </c>
      <c r="E187" s="77">
        <v>-1.12169E-4</v>
      </c>
    </row>
    <row r="188" spans="1:5">
      <c r="A188" s="78">
        <v>18.5</v>
      </c>
      <c r="B188" s="67">
        <v>3.14</v>
      </c>
      <c r="C188" s="81">
        <v>1.5505399999999999E-5</v>
      </c>
      <c r="D188" s="67">
        <v>3.1403799999999999</v>
      </c>
      <c r="E188" s="79">
        <v>-1.21186E-4</v>
      </c>
    </row>
    <row r="189" spans="1:5">
      <c r="A189" s="76">
        <v>18.600000000000001</v>
      </c>
      <c r="B189" s="66">
        <v>3.14</v>
      </c>
      <c r="C189" s="80">
        <v>1.3762E-5</v>
      </c>
      <c r="D189" s="66">
        <v>3.1403699999999999</v>
      </c>
      <c r="E189" s="77">
        <v>-1.2872599999999999E-4</v>
      </c>
    </row>
    <row r="190" spans="1:5">
      <c r="A190" s="78">
        <v>18.7</v>
      </c>
      <c r="B190" s="67">
        <v>3.14</v>
      </c>
      <c r="C190" s="81">
        <v>1.2149300000000001E-5</v>
      </c>
      <c r="D190" s="67">
        <v>3.1403599999999998</v>
      </c>
      <c r="E190" s="79">
        <v>-1.3489099999999999E-4</v>
      </c>
    </row>
    <row r="191" spans="1:5">
      <c r="A191" s="76">
        <v>18.8</v>
      </c>
      <c r="B191" s="66">
        <v>3.14</v>
      </c>
      <c r="C191" s="80">
        <v>1.0661E-5</v>
      </c>
      <c r="D191" s="66">
        <v>3.1403400000000001</v>
      </c>
      <c r="E191" s="77">
        <v>-1.3978300000000001E-4</v>
      </c>
    </row>
    <row r="192" spans="1:5">
      <c r="A192" s="78">
        <v>18.899999999999999</v>
      </c>
      <c r="B192" s="67">
        <v>3.14</v>
      </c>
      <c r="C192" s="81">
        <v>9.2908799999999997E-6</v>
      </c>
      <c r="D192" s="67">
        <v>3.1403300000000001</v>
      </c>
      <c r="E192" s="79">
        <v>-1.4349600000000001E-4</v>
      </c>
    </row>
    <row r="193" spans="1:5">
      <c r="A193" s="76">
        <v>19</v>
      </c>
      <c r="B193" s="66">
        <v>3.14</v>
      </c>
      <c r="C193" s="80">
        <v>8.03277E-6</v>
      </c>
      <c r="D193" s="66">
        <v>3.1403099999999999</v>
      </c>
      <c r="E193" s="77">
        <v>-1.46126E-4</v>
      </c>
    </row>
    <row r="194" spans="1:5">
      <c r="A194" s="78">
        <v>19.100000000000001</v>
      </c>
      <c r="B194" s="67">
        <v>3.14</v>
      </c>
      <c r="C194" s="81">
        <v>6.8805399999999999E-6</v>
      </c>
      <c r="D194" s="67">
        <v>3.1402999999999999</v>
      </c>
      <c r="E194" s="79">
        <v>-1.47761E-4</v>
      </c>
    </row>
    <row r="195" spans="1:5">
      <c r="A195" s="76">
        <v>19.2</v>
      </c>
      <c r="B195" s="66">
        <v>3.14</v>
      </c>
      <c r="C195" s="80">
        <v>5.8282000000000004E-6</v>
      </c>
      <c r="D195" s="66">
        <v>3.1402800000000002</v>
      </c>
      <c r="E195" s="77">
        <v>-1.4848899999999999E-4</v>
      </c>
    </row>
    <row r="196" spans="1:5">
      <c r="A196" s="78">
        <v>19.3</v>
      </c>
      <c r="B196" s="67">
        <v>3.14</v>
      </c>
      <c r="C196" s="81">
        <v>4.8698700000000002E-6</v>
      </c>
      <c r="D196" s="67">
        <v>3.1402700000000001</v>
      </c>
      <c r="E196" s="79">
        <v>-1.48393E-4</v>
      </c>
    </row>
    <row r="197" spans="1:5">
      <c r="A197" s="76">
        <v>19.399999999999999</v>
      </c>
      <c r="B197" s="66">
        <v>3.14</v>
      </c>
      <c r="C197" s="80">
        <v>3.9998199999999999E-6</v>
      </c>
      <c r="D197" s="66">
        <v>3.14025</v>
      </c>
      <c r="E197" s="77">
        <v>-1.4755000000000001E-4</v>
      </c>
    </row>
    <row r="198" spans="1:5">
      <c r="A198" s="78">
        <v>19.5</v>
      </c>
      <c r="B198" s="67">
        <v>3.14</v>
      </c>
      <c r="C198" s="81">
        <v>3.2125000000000002E-6</v>
      </c>
      <c r="D198" s="67">
        <v>3.1402399999999999</v>
      </c>
      <c r="E198" s="79">
        <v>-1.46038E-4</v>
      </c>
    </row>
    <row r="199" spans="1:5">
      <c r="A199" s="76">
        <v>19.600000000000001</v>
      </c>
      <c r="B199" s="66">
        <v>3.1400100000000002</v>
      </c>
      <c r="C199" s="80">
        <v>2.5025199999999999E-6</v>
      </c>
      <c r="D199" s="66">
        <v>3.1402299999999999</v>
      </c>
      <c r="E199" s="77">
        <v>-1.4392699999999999E-4</v>
      </c>
    </row>
    <row r="200" spans="1:5">
      <c r="A200" s="78">
        <v>19.7</v>
      </c>
      <c r="B200" s="67">
        <v>3.1400100000000002</v>
      </c>
      <c r="C200" s="81">
        <v>1.8646900000000001E-6</v>
      </c>
      <c r="D200" s="67">
        <v>3.1402100000000002</v>
      </c>
      <c r="E200" s="79">
        <v>-1.4128599999999999E-4</v>
      </c>
    </row>
    <row r="201" spans="1:5">
      <c r="A201" s="76">
        <v>19.8</v>
      </c>
      <c r="B201" s="66">
        <v>3.1400100000000002</v>
      </c>
      <c r="C201" s="80">
        <v>1.29403E-6</v>
      </c>
      <c r="D201" s="66">
        <v>3.1402000000000001</v>
      </c>
      <c r="E201" s="77">
        <v>-1.38178E-4</v>
      </c>
    </row>
    <row r="202" spans="1:5">
      <c r="A202" s="78">
        <v>19.899999999999999</v>
      </c>
      <c r="B202" s="67">
        <v>3.1400100000000002</v>
      </c>
      <c r="C202" s="81">
        <v>7.8575200000000001E-7</v>
      </c>
      <c r="D202" s="67">
        <v>3.14018</v>
      </c>
      <c r="E202" s="79">
        <v>-1.34664E-4</v>
      </c>
    </row>
    <row r="203" spans="1:5">
      <c r="A203" s="76">
        <v>20</v>
      </c>
      <c r="B203" s="66">
        <v>3.1400100000000002</v>
      </c>
      <c r="C203" s="80">
        <v>3.3526800000000001E-7</v>
      </c>
      <c r="D203" s="66">
        <v>3.1401699999999999</v>
      </c>
      <c r="E203" s="77">
        <v>-1.3080000000000001E-4</v>
      </c>
    </row>
    <row r="204" spans="1:5">
      <c r="A204" s="78">
        <v>20.100000000000001</v>
      </c>
      <c r="B204" s="67">
        <v>3.1400100000000002</v>
      </c>
      <c r="C204" s="81">
        <v>-6.1784599999999999E-8</v>
      </c>
      <c r="D204" s="67">
        <v>3.1401599999999998</v>
      </c>
      <c r="E204" s="79">
        <v>-1.2663999999999999E-4</v>
      </c>
    </row>
    <row r="205" spans="1:5">
      <c r="A205" s="76">
        <v>20.2</v>
      </c>
      <c r="B205" s="66">
        <v>3.1400100000000002</v>
      </c>
      <c r="C205" s="80">
        <v>-4.09561E-7</v>
      </c>
      <c r="D205" s="66">
        <v>3.1401400000000002</v>
      </c>
      <c r="E205" s="77">
        <v>-1.22232E-4</v>
      </c>
    </row>
    <row r="206" spans="1:5">
      <c r="A206" s="78">
        <v>20.3</v>
      </c>
      <c r="B206" s="67">
        <v>3.1400100000000002</v>
      </c>
      <c r="C206" s="81">
        <v>-7.1200599999999998E-7</v>
      </c>
      <c r="D206" s="67">
        <v>3.1401300000000001</v>
      </c>
      <c r="E206" s="79">
        <v>-1.17624E-4</v>
      </c>
    </row>
    <row r="207" spans="1:5">
      <c r="A207" s="76">
        <v>20.399999999999999</v>
      </c>
      <c r="B207" s="66">
        <v>3.1400100000000002</v>
      </c>
      <c r="C207" s="80">
        <v>-9.7285500000000006E-7</v>
      </c>
      <c r="D207" s="66">
        <v>3.14012</v>
      </c>
      <c r="E207" s="77">
        <v>-1.1285699999999999E-4</v>
      </c>
    </row>
    <row r="208" spans="1:5">
      <c r="A208" s="78">
        <v>20.5</v>
      </c>
      <c r="B208" s="67">
        <v>3.1400100000000002</v>
      </c>
      <c r="C208" s="81">
        <v>-1.1956400000000001E-6</v>
      </c>
      <c r="D208" s="67">
        <v>3.14011</v>
      </c>
      <c r="E208" s="79">
        <v>-1.07971E-4</v>
      </c>
    </row>
    <row r="209" spans="1:5">
      <c r="A209" s="76">
        <v>20.6</v>
      </c>
      <c r="B209" s="66">
        <v>3.1400100000000002</v>
      </c>
      <c r="C209" s="80">
        <v>-1.3836800000000001E-6</v>
      </c>
      <c r="D209" s="66">
        <v>3.1400999999999999</v>
      </c>
      <c r="E209" s="77">
        <v>-1.03002E-4</v>
      </c>
    </row>
    <row r="210" spans="1:5">
      <c r="A210" s="78">
        <v>20.7</v>
      </c>
      <c r="B210" s="67">
        <v>3.1400100000000002</v>
      </c>
      <c r="C210" s="81">
        <v>-1.54012E-6</v>
      </c>
      <c r="D210" s="67">
        <v>3.1400899999999998</v>
      </c>
      <c r="E210" s="81">
        <v>-9.7983E-5</v>
      </c>
    </row>
    <row r="211" spans="1:5">
      <c r="A211" s="76">
        <v>20.8</v>
      </c>
      <c r="B211" s="66">
        <v>3.1400100000000002</v>
      </c>
      <c r="C211" s="80">
        <v>-1.6678900000000001E-6</v>
      </c>
      <c r="D211" s="66">
        <v>3.1400800000000002</v>
      </c>
      <c r="E211" s="80">
        <v>-9.2944799999999998E-5</v>
      </c>
    </row>
    <row r="212" spans="1:5">
      <c r="A212" s="78">
        <v>20.9</v>
      </c>
      <c r="B212" s="67">
        <v>3.14</v>
      </c>
      <c r="C212" s="81">
        <v>-1.76973E-6</v>
      </c>
      <c r="D212" s="67">
        <v>3.1400700000000001</v>
      </c>
      <c r="E212" s="81">
        <v>-8.79146E-5</v>
      </c>
    </row>
    <row r="213" spans="1:5">
      <c r="A213" s="76">
        <v>21</v>
      </c>
      <c r="B213" s="66">
        <v>3.14</v>
      </c>
      <c r="C213" s="80">
        <v>-1.8482299999999999E-6</v>
      </c>
      <c r="D213" s="66">
        <v>3.1400600000000001</v>
      </c>
      <c r="E213" s="80">
        <v>-8.29173E-5</v>
      </c>
    </row>
    <row r="214" spans="1:5">
      <c r="A214" s="78">
        <v>21.1</v>
      </c>
      <c r="B214" s="67">
        <v>3.14</v>
      </c>
      <c r="C214" s="81">
        <v>-1.9057700000000001E-6</v>
      </c>
      <c r="D214" s="67">
        <v>3.14005</v>
      </c>
      <c r="E214" s="81">
        <v>-7.7974999999999998E-5</v>
      </c>
    </row>
    <row r="215" spans="1:5">
      <c r="A215" s="76">
        <v>21.2</v>
      </c>
      <c r="B215" s="66">
        <v>3.14</v>
      </c>
      <c r="C215" s="80">
        <v>-1.9445900000000001E-6</v>
      </c>
      <c r="D215" s="66">
        <v>3.14005</v>
      </c>
      <c r="E215" s="80">
        <v>-7.3107800000000005E-5</v>
      </c>
    </row>
    <row r="216" spans="1:5">
      <c r="A216" s="78">
        <v>21.3</v>
      </c>
      <c r="B216" s="67">
        <v>3.14</v>
      </c>
      <c r="C216" s="81">
        <v>-1.9667499999999998E-6</v>
      </c>
      <c r="D216" s="67">
        <v>3.1400399999999999</v>
      </c>
      <c r="E216" s="81">
        <v>-6.8333199999999998E-5</v>
      </c>
    </row>
    <row r="217" spans="1:5">
      <c r="A217" s="76">
        <v>21.4</v>
      </c>
      <c r="B217" s="66">
        <v>3.14</v>
      </c>
      <c r="C217" s="80">
        <v>-1.9741700000000001E-6</v>
      </c>
      <c r="D217" s="66">
        <v>3.1400299999999999</v>
      </c>
      <c r="E217" s="80">
        <v>-6.3666700000000005E-5</v>
      </c>
    </row>
    <row r="218" spans="1:5">
      <c r="A218" s="78">
        <v>21.5</v>
      </c>
      <c r="B218" s="67">
        <v>3.14</v>
      </c>
      <c r="C218" s="81">
        <v>-1.9686300000000001E-6</v>
      </c>
      <c r="D218" s="67">
        <v>3.1400299999999999</v>
      </c>
      <c r="E218" s="81">
        <v>-5.91216E-5</v>
      </c>
    </row>
    <row r="219" spans="1:5">
      <c r="A219" s="76">
        <v>21.6</v>
      </c>
      <c r="B219" s="66">
        <v>3.14</v>
      </c>
      <c r="C219" s="80">
        <v>-1.9517400000000001E-6</v>
      </c>
      <c r="D219" s="66">
        <v>3.1400199999999998</v>
      </c>
      <c r="E219" s="80">
        <v>-5.4709500000000002E-5</v>
      </c>
    </row>
    <row r="220" spans="1:5">
      <c r="A220" s="78">
        <v>21.7</v>
      </c>
      <c r="B220" s="67">
        <v>3.14</v>
      </c>
      <c r="C220" s="81">
        <v>-1.9250199999999999E-6</v>
      </c>
      <c r="D220" s="67">
        <v>3.1400199999999998</v>
      </c>
      <c r="E220" s="81">
        <v>-5.0440099999999998E-5</v>
      </c>
    </row>
    <row r="221" spans="1:5">
      <c r="A221" s="76">
        <v>21.8</v>
      </c>
      <c r="B221" s="66">
        <v>3.14</v>
      </c>
      <c r="C221" s="80">
        <v>-1.8898300000000001E-6</v>
      </c>
      <c r="D221" s="66">
        <v>3.1400100000000002</v>
      </c>
      <c r="E221" s="80">
        <v>-4.63216E-5</v>
      </c>
    </row>
    <row r="222" spans="1:5">
      <c r="A222" s="78">
        <v>21.9</v>
      </c>
      <c r="B222" s="67">
        <v>3.14</v>
      </c>
      <c r="C222" s="81">
        <v>-1.8474300000000001E-6</v>
      </c>
      <c r="D222" s="67">
        <v>3.1400100000000002</v>
      </c>
      <c r="E222" s="81">
        <v>-4.2360500000000002E-5</v>
      </c>
    </row>
    <row r="223" spans="1:5">
      <c r="A223" s="76">
        <v>22</v>
      </c>
      <c r="B223" s="66">
        <v>3.14</v>
      </c>
      <c r="C223" s="80">
        <v>-1.7989700000000001E-6</v>
      </c>
      <c r="D223" s="66">
        <v>3.14</v>
      </c>
      <c r="E223" s="80">
        <v>-3.8561900000000001E-5</v>
      </c>
    </row>
    <row r="224" spans="1:5">
      <c r="A224" s="78">
        <v>22.1</v>
      </c>
      <c r="B224" s="67">
        <v>3.14</v>
      </c>
      <c r="C224" s="81">
        <v>-1.7455000000000001E-6</v>
      </c>
      <c r="D224" s="67">
        <v>3.14</v>
      </c>
      <c r="E224" s="81">
        <v>-3.4929599999999998E-5</v>
      </c>
    </row>
    <row r="225" spans="1:5">
      <c r="A225" s="76">
        <v>22.2</v>
      </c>
      <c r="B225" s="66">
        <v>3.14</v>
      </c>
      <c r="C225" s="80">
        <v>-1.6879500000000001E-6</v>
      </c>
      <c r="D225" s="66">
        <v>3.14</v>
      </c>
      <c r="E225" s="80">
        <v>-3.1466300000000001E-5</v>
      </c>
    </row>
    <row r="226" spans="1:5">
      <c r="A226" s="78">
        <v>22.3</v>
      </c>
      <c r="B226" s="67">
        <v>3.14</v>
      </c>
      <c r="C226" s="81">
        <v>-1.6271799999999999E-6</v>
      </c>
      <c r="D226" s="67">
        <v>3.1399900000000001</v>
      </c>
      <c r="E226" s="81">
        <v>-2.81734E-5</v>
      </c>
    </row>
    <row r="227" spans="1:5">
      <c r="A227" s="76">
        <v>22.4</v>
      </c>
      <c r="B227" s="66">
        <v>3.14</v>
      </c>
      <c r="C227" s="80">
        <v>-1.5639599999999999E-6</v>
      </c>
      <c r="D227" s="66">
        <v>3.1399900000000001</v>
      </c>
      <c r="E227" s="80">
        <v>-2.5051399999999999E-5</v>
      </c>
    </row>
    <row r="228" spans="1:5">
      <c r="A228" s="78">
        <v>22.5</v>
      </c>
      <c r="B228" s="67">
        <v>3.14</v>
      </c>
      <c r="C228" s="81">
        <v>-1.49897E-6</v>
      </c>
      <c r="D228" s="67">
        <v>3.1399900000000001</v>
      </c>
      <c r="E228" s="81">
        <v>-2.2099900000000002E-5</v>
      </c>
    </row>
    <row r="229" spans="1:5">
      <c r="A229" s="76">
        <v>22.6</v>
      </c>
      <c r="B229" s="66">
        <v>3.14</v>
      </c>
      <c r="C229" s="80">
        <v>-1.4328399999999999E-6</v>
      </c>
      <c r="D229" s="66">
        <v>3.1399900000000001</v>
      </c>
      <c r="E229" s="80">
        <v>-1.9317599999999999E-5</v>
      </c>
    </row>
    <row r="230" spans="1:5">
      <c r="A230" s="78">
        <v>22.7</v>
      </c>
      <c r="B230" s="67">
        <v>3.14</v>
      </c>
      <c r="C230" s="81">
        <v>-1.3660900000000001E-6</v>
      </c>
      <c r="D230" s="67">
        <v>3.13998</v>
      </c>
      <c r="E230" s="81">
        <v>-1.6702600000000002E-5</v>
      </c>
    </row>
    <row r="231" spans="1:5">
      <c r="A231" s="76">
        <v>22.8</v>
      </c>
      <c r="B231" s="66">
        <v>3.14</v>
      </c>
      <c r="C231" s="80">
        <v>-1.29923E-6</v>
      </c>
      <c r="D231" s="66">
        <v>3.13998</v>
      </c>
      <c r="E231" s="80">
        <v>-1.42521E-5</v>
      </c>
    </row>
    <row r="232" spans="1:5">
      <c r="A232" s="78">
        <v>22.9</v>
      </c>
      <c r="B232" s="67">
        <v>3.14</v>
      </c>
      <c r="C232" s="81">
        <v>-1.2326700000000001E-6</v>
      </c>
      <c r="D232" s="67">
        <v>3.13998</v>
      </c>
      <c r="E232" s="81">
        <v>-1.1963E-5</v>
      </c>
    </row>
    <row r="233" spans="1:5">
      <c r="A233" s="76">
        <v>23</v>
      </c>
      <c r="B233" s="66">
        <v>3.14</v>
      </c>
      <c r="C233" s="80">
        <v>-1.16677E-6</v>
      </c>
      <c r="D233" s="66">
        <v>3.13998</v>
      </c>
      <c r="E233" s="80">
        <v>-9.8314500000000005E-6</v>
      </c>
    </row>
    <row r="234" spans="1:5">
      <c r="A234" s="78">
        <v>23.1</v>
      </c>
      <c r="B234" s="67">
        <v>3.14</v>
      </c>
      <c r="C234" s="81">
        <v>-1.10187E-6</v>
      </c>
      <c r="D234" s="67">
        <v>3.13998</v>
      </c>
      <c r="E234" s="81">
        <v>-7.8532900000000008E-6</v>
      </c>
    </row>
    <row r="235" spans="1:5">
      <c r="A235" s="76">
        <v>23.2</v>
      </c>
      <c r="B235" s="66">
        <v>3.14</v>
      </c>
      <c r="C235" s="80">
        <v>-1.0382300000000001E-6</v>
      </c>
      <c r="D235" s="66">
        <v>3.13998</v>
      </c>
      <c r="E235" s="80">
        <v>-6.0239400000000003E-6</v>
      </c>
    </row>
    <row r="236" spans="1:5">
      <c r="A236" s="78">
        <v>23.3</v>
      </c>
      <c r="B236" s="67">
        <v>3.14</v>
      </c>
      <c r="C236" s="81">
        <v>-9.7608799999999995E-7</v>
      </c>
      <c r="D236" s="67">
        <v>3.13998</v>
      </c>
      <c r="E236" s="81">
        <v>-4.3385099999999999E-6</v>
      </c>
    </row>
    <row r="237" spans="1:5">
      <c r="A237" s="76">
        <v>23.4</v>
      </c>
      <c r="B237" s="66">
        <v>3.14</v>
      </c>
      <c r="C237" s="80">
        <v>-9.1563899999999998E-7</v>
      </c>
      <c r="D237" s="66">
        <v>3.13998</v>
      </c>
      <c r="E237" s="80">
        <v>-2.7918300000000001E-6</v>
      </c>
    </row>
    <row r="238" spans="1:5">
      <c r="A238" s="78">
        <v>23.5</v>
      </c>
      <c r="B238" s="67">
        <v>3.14</v>
      </c>
      <c r="C238" s="81">
        <v>-8.5704200000000001E-7</v>
      </c>
      <c r="D238" s="67">
        <v>3.13998</v>
      </c>
      <c r="E238" s="81">
        <v>-1.3785400000000001E-6</v>
      </c>
    </row>
    <row r="239" spans="1:5">
      <c r="A239" s="76">
        <v>23.6</v>
      </c>
      <c r="B239" s="66">
        <v>3.14</v>
      </c>
      <c r="C239" s="80">
        <v>-8.0042800000000003E-7</v>
      </c>
      <c r="D239" s="66">
        <v>3.13998</v>
      </c>
      <c r="E239" s="80">
        <v>-9.3087900000000001E-8</v>
      </c>
    </row>
    <row r="240" spans="1:5">
      <c r="A240" s="78">
        <v>23.7</v>
      </c>
      <c r="B240" s="67">
        <v>3.14</v>
      </c>
      <c r="C240" s="81">
        <v>-7.45899E-7</v>
      </c>
      <c r="D240" s="67">
        <v>3.13998</v>
      </c>
      <c r="E240" s="81">
        <v>1.07018E-6</v>
      </c>
    </row>
    <row r="241" spans="1:5">
      <c r="A241" s="76">
        <v>23.8</v>
      </c>
      <c r="B241" s="66">
        <v>3.14</v>
      </c>
      <c r="C241" s="80">
        <v>-6.9352999999999999E-7</v>
      </c>
      <c r="D241" s="66">
        <v>3.13998</v>
      </c>
      <c r="E241" s="80">
        <v>2.1170100000000001E-6</v>
      </c>
    </row>
    <row r="242" spans="1:5">
      <c r="A242" s="78">
        <v>23.9</v>
      </c>
      <c r="B242" s="67">
        <v>3.14</v>
      </c>
      <c r="C242" s="81">
        <v>-6.43375E-7</v>
      </c>
      <c r="D242" s="67">
        <v>3.13998</v>
      </c>
      <c r="E242" s="81">
        <v>3.0531800000000001E-6</v>
      </c>
    </row>
    <row r="243" spans="1:5">
      <c r="A243" s="76">
        <v>24</v>
      </c>
      <c r="B243" s="66">
        <v>3.14</v>
      </c>
      <c r="C243" s="80">
        <v>-5.9546800000000002E-7</v>
      </c>
      <c r="D243" s="66">
        <v>3.13998</v>
      </c>
      <c r="E243" s="80">
        <v>3.8844999999999998E-6</v>
      </c>
    </row>
    <row r="244" spans="1:5">
      <c r="A244" s="78">
        <v>24.1</v>
      </c>
      <c r="B244" s="67">
        <v>3.14</v>
      </c>
      <c r="C244" s="81">
        <v>-5.4982499999999996E-7</v>
      </c>
      <c r="D244" s="67">
        <v>3.13998</v>
      </c>
      <c r="E244" s="81">
        <v>4.6167399999999996E-6</v>
      </c>
    </row>
    <row r="245" spans="1:5">
      <c r="A245" s="76">
        <v>24.2</v>
      </c>
      <c r="B245" s="66">
        <v>3.14</v>
      </c>
      <c r="C245" s="80">
        <v>-5.0644500000000001E-7</v>
      </c>
      <c r="D245" s="66">
        <v>3.13998</v>
      </c>
      <c r="E245" s="80">
        <v>5.2556299999999997E-6</v>
      </c>
    </row>
    <row r="246" spans="1:5">
      <c r="A246" s="78">
        <v>24.3</v>
      </c>
      <c r="B246" s="67">
        <v>3.14</v>
      </c>
      <c r="C246" s="81">
        <v>-4.6531599999999998E-7</v>
      </c>
      <c r="D246" s="67">
        <v>3.13998</v>
      </c>
      <c r="E246" s="81">
        <v>5.8068199999999997E-6</v>
      </c>
    </row>
    <row r="247" spans="1:5">
      <c r="A247" s="76">
        <v>24.4</v>
      </c>
      <c r="B247" s="66">
        <v>3.14</v>
      </c>
      <c r="C247" s="80">
        <v>-4.2640899999999999E-7</v>
      </c>
      <c r="D247" s="66">
        <v>3.13998</v>
      </c>
      <c r="E247" s="80">
        <v>6.2758899999999996E-6</v>
      </c>
    </row>
    <row r="248" spans="1:5">
      <c r="A248" s="78">
        <v>24.5</v>
      </c>
      <c r="B248" s="67">
        <v>3.14</v>
      </c>
      <c r="C248" s="81">
        <v>-3.8969100000000002E-7</v>
      </c>
      <c r="D248" s="67">
        <v>3.13998</v>
      </c>
      <c r="E248" s="81">
        <v>6.6682799999999996E-6</v>
      </c>
    </row>
    <row r="249" spans="1:5">
      <c r="A249" s="76">
        <v>24.6</v>
      </c>
      <c r="B249" s="66">
        <v>3.14</v>
      </c>
      <c r="C249" s="80">
        <v>-3.5511400000000001E-7</v>
      </c>
      <c r="D249" s="66">
        <v>3.13998</v>
      </c>
      <c r="E249" s="80">
        <v>6.9893199999999999E-6</v>
      </c>
    </row>
    <row r="250" spans="1:5">
      <c r="A250" s="78">
        <v>24.7</v>
      </c>
      <c r="B250" s="67">
        <v>3.14</v>
      </c>
      <c r="C250" s="81">
        <v>-3.2262800000000002E-7</v>
      </c>
      <c r="D250" s="67">
        <v>3.13998</v>
      </c>
      <c r="E250" s="81">
        <v>7.2441800000000003E-6</v>
      </c>
    </row>
    <row r="251" spans="1:5">
      <c r="A251" s="76">
        <v>24.8</v>
      </c>
      <c r="B251" s="66">
        <v>3.14</v>
      </c>
      <c r="C251" s="80">
        <v>-2.92172E-7</v>
      </c>
      <c r="D251" s="66">
        <v>3.13998</v>
      </c>
      <c r="E251" s="80">
        <v>7.43787E-6</v>
      </c>
    </row>
    <row r="252" spans="1:5">
      <c r="A252" s="78">
        <v>24.9</v>
      </c>
      <c r="B252" s="67">
        <v>3.14</v>
      </c>
      <c r="C252" s="81">
        <v>-2.6368199999999999E-7</v>
      </c>
      <c r="D252" s="67">
        <v>3.13998</v>
      </c>
      <c r="E252" s="81">
        <v>7.5752599999999999E-6</v>
      </c>
    </row>
    <row r="253" spans="1:5">
      <c r="A253" s="76">
        <v>25</v>
      </c>
      <c r="B253" s="66">
        <v>3.14</v>
      </c>
      <c r="C253" s="80">
        <v>-2.3709099999999999E-7</v>
      </c>
      <c r="D253" s="66">
        <v>3.13998</v>
      </c>
      <c r="E253" s="80">
        <v>7.661E-6</v>
      </c>
    </row>
    <row r="254" spans="1:5">
      <c r="A254" s="78">
        <v>25.1</v>
      </c>
      <c r="B254" s="67">
        <v>3.14</v>
      </c>
      <c r="C254" s="81">
        <v>-2.1232699999999999E-7</v>
      </c>
      <c r="D254" s="67">
        <v>3.1399900000000001</v>
      </c>
      <c r="E254" s="81">
        <v>7.6996100000000006E-6</v>
      </c>
    </row>
    <row r="255" spans="1:5">
      <c r="A255" s="76">
        <v>25.2</v>
      </c>
      <c r="B255" s="66">
        <v>3.14</v>
      </c>
      <c r="C255" s="80">
        <v>-1.89316E-7</v>
      </c>
      <c r="D255" s="66">
        <v>3.1399900000000001</v>
      </c>
      <c r="E255" s="80">
        <v>7.6953599999999998E-6</v>
      </c>
    </row>
    <row r="256" spans="1:5">
      <c r="A256" s="78">
        <v>25.3</v>
      </c>
      <c r="B256" s="67">
        <v>3.14</v>
      </c>
      <c r="C256" s="81">
        <v>-1.67983E-7</v>
      </c>
      <c r="D256" s="67">
        <v>3.1399900000000001</v>
      </c>
      <c r="E256" s="81">
        <v>7.6523900000000008E-6</v>
      </c>
    </row>
    <row r="257" spans="1:5">
      <c r="A257" s="76">
        <v>25.4</v>
      </c>
      <c r="B257" s="66">
        <v>3.14</v>
      </c>
      <c r="C257" s="80">
        <v>-1.48252E-7</v>
      </c>
      <c r="D257" s="66">
        <v>3.1399900000000001</v>
      </c>
      <c r="E257" s="80">
        <v>7.5746000000000003E-6</v>
      </c>
    </row>
    <row r="258" spans="1:5">
      <c r="A258" s="78">
        <v>25.5</v>
      </c>
      <c r="B258" s="67">
        <v>3.14</v>
      </c>
      <c r="C258" s="81">
        <v>-1.30045E-7</v>
      </c>
      <c r="D258" s="67">
        <v>3.1399900000000001</v>
      </c>
      <c r="E258" s="81">
        <v>7.4657000000000004E-6</v>
      </c>
    </row>
    <row r="259" spans="1:5">
      <c r="A259" s="76">
        <v>25.6</v>
      </c>
      <c r="B259" s="66">
        <v>3.14</v>
      </c>
      <c r="C259" s="80">
        <v>-1.13286E-7</v>
      </c>
      <c r="D259" s="66">
        <v>3.1399900000000001</v>
      </c>
      <c r="E259" s="80">
        <v>7.3292299999999996E-6</v>
      </c>
    </row>
    <row r="260" spans="1:5">
      <c r="A260" s="78">
        <v>25.7</v>
      </c>
      <c r="B260" s="67">
        <v>3.14</v>
      </c>
      <c r="C260" s="81">
        <v>-9.7899200000000006E-8</v>
      </c>
      <c r="D260" s="67">
        <v>3.1399900000000001</v>
      </c>
      <c r="E260" s="81">
        <v>7.1685000000000001E-6</v>
      </c>
    </row>
    <row r="261" spans="1:5">
      <c r="A261" s="76">
        <v>25.8</v>
      </c>
      <c r="B261" s="66">
        <v>3.14</v>
      </c>
      <c r="C261" s="80">
        <v>-8.3809599999999999E-8</v>
      </c>
      <c r="D261" s="66">
        <v>3.1399900000000001</v>
      </c>
      <c r="E261" s="80">
        <v>6.9866500000000003E-6</v>
      </c>
    </row>
    <row r="262" spans="1:5">
      <c r="A262" s="78">
        <v>25.9</v>
      </c>
      <c r="B262" s="67">
        <v>3.14</v>
      </c>
      <c r="C262" s="81">
        <v>-7.0943399999999997E-8</v>
      </c>
      <c r="D262" s="67">
        <v>3.1399900000000001</v>
      </c>
      <c r="E262" s="81">
        <v>6.7866200000000001E-6</v>
      </c>
    </row>
    <row r="263" spans="1:5">
      <c r="A263" s="76">
        <v>26</v>
      </c>
      <c r="B263" s="66">
        <v>3.14</v>
      </c>
      <c r="C263" s="80">
        <v>-5.92285E-8</v>
      </c>
      <c r="D263" s="66">
        <v>3.1399900000000001</v>
      </c>
      <c r="E263" s="80">
        <v>6.5711499999999998E-6</v>
      </c>
    </row>
    <row r="264" spans="1:5">
      <c r="A264" s="78">
        <v>26.1</v>
      </c>
      <c r="B264" s="67">
        <v>3.14</v>
      </c>
      <c r="C264" s="81">
        <v>-4.8594599999999998E-8</v>
      </c>
      <c r="D264" s="67">
        <v>3.1399900000000001</v>
      </c>
      <c r="E264" s="81">
        <v>6.3428300000000001E-6</v>
      </c>
    </row>
    <row r="265" spans="1:5">
      <c r="A265" s="76">
        <v>26.2</v>
      </c>
      <c r="B265" s="66">
        <v>3.14</v>
      </c>
      <c r="C265" s="80">
        <v>-3.89736E-8</v>
      </c>
      <c r="D265" s="66">
        <v>3.1399900000000001</v>
      </c>
      <c r="E265" s="80">
        <v>6.1040299999999999E-6</v>
      </c>
    </row>
    <row r="266" spans="1:5">
      <c r="A266" s="78">
        <v>26.3</v>
      </c>
      <c r="B266" s="67">
        <v>3.14</v>
      </c>
      <c r="C266" s="81">
        <v>-3.0299499999999999E-8</v>
      </c>
      <c r="D266" s="67">
        <v>3.1399900000000001</v>
      </c>
      <c r="E266" s="81">
        <v>5.8569800000000003E-6</v>
      </c>
    </row>
    <row r="267" spans="1:5">
      <c r="A267" s="76">
        <v>26.4</v>
      </c>
      <c r="B267" s="66">
        <v>3.14</v>
      </c>
      <c r="C267" s="80">
        <v>-2.2508600000000001E-8</v>
      </c>
      <c r="D267" s="66">
        <v>3.1399900000000001</v>
      </c>
      <c r="E267" s="80">
        <v>5.6037100000000001E-6</v>
      </c>
    </row>
    <row r="268" spans="1:5">
      <c r="A268" s="78">
        <v>26.5</v>
      </c>
      <c r="B268" s="67">
        <v>3.14</v>
      </c>
      <c r="C268" s="81">
        <v>-1.5539699999999999E-8</v>
      </c>
      <c r="D268" s="67">
        <v>3.1399900000000001</v>
      </c>
      <c r="E268" s="81">
        <v>5.3461000000000004E-6</v>
      </c>
    </row>
    <row r="269" spans="1:5">
      <c r="A269" s="76">
        <v>26.6</v>
      </c>
      <c r="B269" s="66">
        <v>3.14</v>
      </c>
      <c r="C269" s="80">
        <v>-9.3342000000000003E-9</v>
      </c>
      <c r="D269" s="66">
        <v>3.14</v>
      </c>
      <c r="E269" s="80">
        <v>5.08589E-6</v>
      </c>
    </row>
    <row r="270" spans="1:5">
      <c r="A270" s="78">
        <v>26.7</v>
      </c>
      <c r="B270" s="67">
        <v>3.14</v>
      </c>
      <c r="C270" s="81">
        <v>-3.8359199999999997E-9</v>
      </c>
      <c r="D270" s="67">
        <v>3.14</v>
      </c>
      <c r="E270" s="81">
        <v>4.8246399999999998E-6</v>
      </c>
    </row>
    <row r="271" spans="1:5">
      <c r="A271" s="76">
        <v>26.8</v>
      </c>
      <c r="B271" s="66">
        <v>3.14</v>
      </c>
      <c r="C271" s="80">
        <v>1.00865E-9</v>
      </c>
      <c r="D271" s="66">
        <v>3.14</v>
      </c>
      <c r="E271" s="80">
        <v>4.5637799999999997E-6</v>
      </c>
    </row>
    <row r="272" spans="1:5">
      <c r="A272" s="78">
        <v>26.9</v>
      </c>
      <c r="B272" s="67">
        <v>3.14</v>
      </c>
      <c r="C272" s="81">
        <v>5.2504299999999996E-9</v>
      </c>
      <c r="D272" s="67">
        <v>3.14</v>
      </c>
      <c r="E272" s="81">
        <v>4.3046000000000003E-6</v>
      </c>
    </row>
    <row r="273" spans="1:5">
      <c r="A273" s="76">
        <v>27</v>
      </c>
      <c r="B273" s="66">
        <v>3.14</v>
      </c>
      <c r="C273" s="80">
        <v>8.9377500000000001E-9</v>
      </c>
      <c r="D273" s="66">
        <v>3.14</v>
      </c>
      <c r="E273" s="80">
        <v>4.0482599999999996E-6</v>
      </c>
    </row>
    <row r="274" spans="1:5">
      <c r="A274" s="78">
        <v>27.1</v>
      </c>
      <c r="B274" s="67">
        <v>3.14</v>
      </c>
      <c r="C274" s="81">
        <v>1.2116399999999999E-8</v>
      </c>
      <c r="D274" s="67">
        <v>3.14</v>
      </c>
      <c r="E274" s="81">
        <v>3.79578E-6</v>
      </c>
    </row>
    <row r="275" spans="1:5">
      <c r="A275" s="76">
        <v>27.2</v>
      </c>
      <c r="B275" s="66">
        <v>3.14</v>
      </c>
      <c r="C275" s="80">
        <v>1.4829599999999999E-8</v>
      </c>
      <c r="D275" s="66">
        <v>3.14</v>
      </c>
      <c r="E275" s="80">
        <v>3.5481E-6</v>
      </c>
    </row>
    <row r="276" spans="1:5">
      <c r="A276" s="78">
        <v>27.3</v>
      </c>
      <c r="B276" s="67">
        <v>3.14</v>
      </c>
      <c r="C276" s="81">
        <v>1.7118000000000001E-8</v>
      </c>
      <c r="D276" s="67">
        <v>3.14</v>
      </c>
      <c r="E276" s="81">
        <v>3.3060000000000002E-6</v>
      </c>
    </row>
    <row r="277" spans="1:5">
      <c r="A277" s="76">
        <v>27.4</v>
      </c>
      <c r="B277" s="66">
        <v>3.14</v>
      </c>
      <c r="C277" s="80">
        <v>1.90201E-8</v>
      </c>
      <c r="D277" s="66">
        <v>3.14</v>
      </c>
      <c r="E277" s="80">
        <v>3.07019E-6</v>
      </c>
    </row>
    <row r="278" spans="1:5">
      <c r="A278" s="78">
        <v>27.5</v>
      </c>
      <c r="B278" s="67">
        <v>3.14</v>
      </c>
      <c r="C278" s="81">
        <v>2.05718E-8</v>
      </c>
      <c r="D278" s="67">
        <v>3.14</v>
      </c>
      <c r="E278" s="81">
        <v>2.84126E-6</v>
      </c>
    </row>
    <row r="279" spans="1:5">
      <c r="A279" s="76">
        <v>27.6</v>
      </c>
      <c r="B279" s="66">
        <v>3.14</v>
      </c>
      <c r="C279" s="80">
        <v>2.18068E-8</v>
      </c>
      <c r="D279" s="66">
        <v>3.14</v>
      </c>
      <c r="E279" s="80">
        <v>2.6197300000000001E-6</v>
      </c>
    </row>
    <row r="280" spans="1:5">
      <c r="A280" s="78">
        <v>27.7</v>
      </c>
      <c r="B280" s="67">
        <v>3.14</v>
      </c>
      <c r="C280" s="81">
        <v>2.2756499999999999E-8</v>
      </c>
      <c r="D280" s="67">
        <v>3.14</v>
      </c>
      <c r="E280" s="81">
        <v>2.4060100000000002E-6</v>
      </c>
    </row>
    <row r="281" spans="1:5">
      <c r="A281" s="76">
        <v>27.8</v>
      </c>
      <c r="B281" s="66">
        <v>3.14</v>
      </c>
      <c r="C281" s="80">
        <v>2.3450300000000001E-8</v>
      </c>
      <c r="D281" s="66">
        <v>3.14</v>
      </c>
      <c r="E281" s="80">
        <v>2.2004499999999998E-6</v>
      </c>
    </row>
    <row r="282" spans="1:5">
      <c r="A282" s="78">
        <v>27.9</v>
      </c>
      <c r="B282" s="67">
        <v>3.14</v>
      </c>
      <c r="C282" s="81">
        <v>2.39155E-8</v>
      </c>
      <c r="D282" s="67">
        <v>3.14</v>
      </c>
      <c r="E282" s="81">
        <v>2.0033099999999998E-6</v>
      </c>
    </row>
    <row r="283" spans="1:5">
      <c r="A283" s="76">
        <v>28</v>
      </c>
      <c r="B283" s="66">
        <v>3.14</v>
      </c>
      <c r="C283" s="80">
        <v>2.4177299999999998E-8</v>
      </c>
      <c r="D283" s="66">
        <v>3.14</v>
      </c>
      <c r="E283" s="80">
        <v>1.8147899999999999E-6</v>
      </c>
    </row>
    <row r="284" spans="1:5">
      <c r="A284" s="78">
        <v>28.1</v>
      </c>
      <c r="B284" s="67">
        <v>3.14</v>
      </c>
      <c r="C284" s="81">
        <v>2.42592E-8</v>
      </c>
      <c r="D284" s="67">
        <v>3.14</v>
      </c>
      <c r="E284" s="81">
        <v>1.63503E-6</v>
      </c>
    </row>
    <row r="285" spans="1:5">
      <c r="A285" s="76">
        <v>28.2</v>
      </c>
      <c r="B285" s="66">
        <v>3.14</v>
      </c>
      <c r="C285" s="80">
        <v>2.41829E-8</v>
      </c>
      <c r="D285" s="66">
        <v>3.14</v>
      </c>
      <c r="E285" s="80">
        <v>1.4641099999999999E-6</v>
      </c>
    </row>
    <row r="286" spans="1:5">
      <c r="A286" s="78">
        <v>28.3</v>
      </c>
      <c r="B286" s="67">
        <v>3.14</v>
      </c>
      <c r="C286" s="81">
        <v>2.39683E-8</v>
      </c>
      <c r="D286" s="67">
        <v>3.14</v>
      </c>
      <c r="E286" s="81">
        <v>1.3020500000000001E-6</v>
      </c>
    </row>
    <row r="287" spans="1:5">
      <c r="A287" s="76">
        <v>28.4</v>
      </c>
      <c r="B287" s="66">
        <v>3.14</v>
      </c>
      <c r="C287" s="80">
        <v>2.3633800000000001E-8</v>
      </c>
      <c r="D287" s="66">
        <v>3.14</v>
      </c>
      <c r="E287" s="80">
        <v>1.1488300000000001E-6</v>
      </c>
    </row>
    <row r="288" spans="1:5">
      <c r="A288" s="78">
        <v>28.5</v>
      </c>
      <c r="B288" s="67">
        <v>3.14</v>
      </c>
      <c r="C288" s="81">
        <v>2.31961E-8</v>
      </c>
      <c r="D288" s="67">
        <v>3.14</v>
      </c>
      <c r="E288" s="81">
        <v>1.00439E-6</v>
      </c>
    </row>
    <row r="289" spans="1:5">
      <c r="A289" s="76">
        <v>28.6</v>
      </c>
      <c r="B289" s="66">
        <v>3.14</v>
      </c>
      <c r="C289" s="80">
        <v>2.2670699999999999E-8</v>
      </c>
      <c r="D289" s="66">
        <v>3.14</v>
      </c>
      <c r="E289" s="80">
        <v>8.6862200000000001E-7</v>
      </c>
    </row>
    <row r="290" spans="1:5">
      <c r="A290" s="78">
        <v>28.7</v>
      </c>
      <c r="B290" s="67">
        <v>3.14</v>
      </c>
      <c r="C290" s="81">
        <v>2.2071599999999999E-8</v>
      </c>
      <c r="D290" s="67">
        <v>3.14</v>
      </c>
      <c r="E290" s="81">
        <v>7.4139099999999997E-7</v>
      </c>
    </row>
    <row r="291" spans="1:5">
      <c r="A291" s="76">
        <v>28.8</v>
      </c>
      <c r="B291" s="66">
        <v>3.14</v>
      </c>
      <c r="C291" s="80">
        <v>2.1411400000000001E-8</v>
      </c>
      <c r="D291" s="66">
        <v>3.14</v>
      </c>
      <c r="E291" s="80">
        <v>6.2253099999999998E-7</v>
      </c>
    </row>
    <row r="292" spans="1:5">
      <c r="A292" s="78">
        <v>28.9</v>
      </c>
      <c r="B292" s="67">
        <v>3.14</v>
      </c>
      <c r="C292" s="81">
        <v>2.0701800000000001E-8</v>
      </c>
      <c r="D292" s="67">
        <v>3.14</v>
      </c>
      <c r="E292" s="81">
        <v>5.1184499999999999E-7</v>
      </c>
    </row>
    <row r="293" spans="1:5">
      <c r="A293" s="76">
        <v>29</v>
      </c>
      <c r="B293" s="66">
        <v>3.14</v>
      </c>
      <c r="C293" s="80">
        <v>1.9953200000000001E-8</v>
      </c>
      <c r="D293" s="66">
        <v>3.14</v>
      </c>
      <c r="E293" s="80">
        <v>4.09118E-7</v>
      </c>
    </row>
    <row r="294" spans="1:5">
      <c r="A294" s="78">
        <v>29.1</v>
      </c>
      <c r="B294" s="67">
        <v>3.14</v>
      </c>
      <c r="C294" s="81">
        <v>1.9174899999999999E-8</v>
      </c>
      <c r="D294" s="67">
        <v>3.14</v>
      </c>
      <c r="E294" s="81">
        <v>3.14112E-7</v>
      </c>
    </row>
    <row r="295" spans="1:5">
      <c r="A295" s="76">
        <v>29.2</v>
      </c>
      <c r="B295" s="66">
        <v>3.14</v>
      </c>
      <c r="C295" s="80">
        <v>1.8375399999999999E-8</v>
      </c>
      <c r="D295" s="66">
        <v>3.14</v>
      </c>
      <c r="E295" s="80">
        <v>2.26574E-7</v>
      </c>
    </row>
    <row r="296" spans="1:5">
      <c r="A296" s="78">
        <v>29.3</v>
      </c>
      <c r="B296" s="67">
        <v>3.14</v>
      </c>
      <c r="C296" s="81">
        <v>1.7562100000000001E-8</v>
      </c>
      <c r="D296" s="67">
        <v>3.14</v>
      </c>
      <c r="E296" s="81">
        <v>1.4623600000000001E-7</v>
      </c>
    </row>
    <row r="297" spans="1:5">
      <c r="A297" s="76">
        <v>29.4</v>
      </c>
      <c r="B297" s="66">
        <v>3.14</v>
      </c>
      <c r="C297" s="80">
        <v>1.6741800000000001E-8</v>
      </c>
      <c r="D297" s="66">
        <v>3.14</v>
      </c>
      <c r="E297" s="80">
        <v>7.28205E-8</v>
      </c>
    </row>
    <row r="298" spans="1:5">
      <c r="A298" s="78">
        <v>29.5</v>
      </c>
      <c r="B298" s="67">
        <v>3.14</v>
      </c>
      <c r="C298" s="81">
        <v>1.5920200000000001E-8</v>
      </c>
      <c r="D298" s="67">
        <v>3.14</v>
      </c>
      <c r="E298" s="81">
        <v>6.0396100000000004E-9</v>
      </c>
    </row>
    <row r="299" spans="1:5">
      <c r="A299" s="76">
        <v>29.6</v>
      </c>
      <c r="B299" s="66">
        <v>3.14</v>
      </c>
      <c r="C299" s="80">
        <v>1.5102600000000001E-8</v>
      </c>
      <c r="D299" s="66">
        <v>3.14</v>
      </c>
      <c r="E299" s="80">
        <v>-5.4399899999999999E-8</v>
      </c>
    </row>
    <row r="300" spans="1:5">
      <c r="A300" s="78">
        <v>29.7</v>
      </c>
      <c r="B300" s="67">
        <v>3.14</v>
      </c>
      <c r="C300" s="81">
        <v>1.42935E-8</v>
      </c>
      <c r="D300" s="67">
        <v>3.14</v>
      </c>
      <c r="E300" s="81">
        <v>-1.08796E-7</v>
      </c>
    </row>
    <row r="301" spans="1:5">
      <c r="A301" s="76">
        <v>29.8</v>
      </c>
      <c r="B301" s="66">
        <v>3.14</v>
      </c>
      <c r="C301" s="80">
        <v>1.34967E-8</v>
      </c>
      <c r="D301" s="66">
        <v>3.14</v>
      </c>
      <c r="E301" s="80">
        <v>-1.5744799999999999E-7</v>
      </c>
    </row>
    <row r="302" spans="1:5">
      <c r="A302" s="78">
        <v>29.9</v>
      </c>
      <c r="B302" s="67">
        <v>3.14</v>
      </c>
      <c r="C302" s="81">
        <v>1.2715599999999999E-8</v>
      </c>
      <c r="D302" s="67">
        <v>3.14</v>
      </c>
      <c r="E302" s="81">
        <v>-2.0065699999999999E-7</v>
      </c>
    </row>
    <row r="303" spans="1:5">
      <c r="A303" s="76">
        <v>30</v>
      </c>
      <c r="B303" s="66">
        <v>3.14</v>
      </c>
      <c r="C303" s="80">
        <v>1.19531E-8</v>
      </c>
      <c r="D303" s="66">
        <v>3.14</v>
      </c>
      <c r="E303" s="80">
        <v>-2.3872200000000001E-7</v>
      </c>
    </row>
    <row r="304" spans="1:5">
      <c r="A304" s="78">
        <v>30.1</v>
      </c>
      <c r="B304" s="67">
        <v>3.14</v>
      </c>
      <c r="C304" s="81">
        <v>1.1211499999999999E-8</v>
      </c>
      <c r="D304" s="67">
        <v>3.14</v>
      </c>
      <c r="E304" s="81">
        <v>-2.7194100000000001E-7</v>
      </c>
    </row>
    <row r="305" spans="1:5">
      <c r="A305" s="76">
        <v>30.2</v>
      </c>
      <c r="B305" s="66">
        <v>3.14</v>
      </c>
      <c r="C305" s="80">
        <v>1.04927E-8</v>
      </c>
      <c r="D305" s="66">
        <v>3.14</v>
      </c>
      <c r="E305" s="80">
        <v>-3.0060799999999999E-7</v>
      </c>
    </row>
    <row r="306" spans="1:5">
      <c r="A306" s="78">
        <v>30.3</v>
      </c>
      <c r="B306" s="67">
        <v>3.14</v>
      </c>
      <c r="C306" s="81">
        <v>9.7984099999999995E-9</v>
      </c>
      <c r="D306" s="67">
        <v>3.14</v>
      </c>
      <c r="E306" s="81">
        <v>-3.2501000000000002E-7</v>
      </c>
    </row>
    <row r="307" spans="1:5">
      <c r="A307" s="76">
        <v>30.4</v>
      </c>
      <c r="B307" s="66">
        <v>3.14</v>
      </c>
      <c r="C307" s="80">
        <v>9.1297800000000007E-9</v>
      </c>
      <c r="D307" s="66">
        <v>3.14</v>
      </c>
      <c r="E307" s="80">
        <v>-3.4543100000000002E-7</v>
      </c>
    </row>
    <row r="308" spans="1:5">
      <c r="A308" s="78">
        <v>30.5</v>
      </c>
      <c r="B308" s="67">
        <v>3.14</v>
      </c>
      <c r="C308" s="81">
        <v>8.4877299999999996E-9</v>
      </c>
      <c r="D308" s="67">
        <v>3.14</v>
      </c>
      <c r="E308" s="81">
        <v>-3.6214599999999999E-7</v>
      </c>
    </row>
    <row r="309" spans="1:5">
      <c r="A309" s="76">
        <v>30.6</v>
      </c>
      <c r="B309" s="66">
        <v>3.14</v>
      </c>
      <c r="C309" s="80">
        <v>7.8729299999999996E-9</v>
      </c>
      <c r="D309" s="66">
        <v>3.14</v>
      </c>
      <c r="E309" s="80">
        <v>-3.7542499999999999E-7</v>
      </c>
    </row>
    <row r="310" spans="1:5">
      <c r="A310" s="78">
        <v>30.7</v>
      </c>
      <c r="B310" s="67">
        <v>3.14</v>
      </c>
      <c r="C310" s="81">
        <v>7.2857600000000003E-9</v>
      </c>
      <c r="D310" s="67">
        <v>3.14</v>
      </c>
      <c r="E310" s="81">
        <v>-3.8552700000000001E-7</v>
      </c>
    </row>
    <row r="311" spans="1:5">
      <c r="A311" s="76">
        <v>30.8</v>
      </c>
      <c r="B311" s="66">
        <v>3.14</v>
      </c>
      <c r="C311" s="80">
        <v>6.72642E-9</v>
      </c>
      <c r="D311" s="66">
        <v>3.14</v>
      </c>
      <c r="E311" s="80">
        <v>-3.9270499999999999E-7</v>
      </c>
    </row>
    <row r="312" spans="1:5">
      <c r="A312" s="78">
        <v>30.9</v>
      </c>
      <c r="B312" s="67">
        <v>3.14</v>
      </c>
      <c r="C312" s="81">
        <v>6.19488E-9</v>
      </c>
      <c r="D312" s="67">
        <v>3.14</v>
      </c>
      <c r="E312" s="81">
        <v>-3.9719999999999998E-7</v>
      </c>
    </row>
    <row r="313" spans="1:5">
      <c r="A313" s="76">
        <v>31</v>
      </c>
      <c r="B313" s="66">
        <v>3.14</v>
      </c>
      <c r="C313" s="80">
        <v>5.6909799999999997E-9</v>
      </c>
      <c r="D313" s="66">
        <v>3.14</v>
      </c>
      <c r="E313" s="80">
        <v>-3.9924599999999997E-7</v>
      </c>
    </row>
    <row r="314" spans="1:5">
      <c r="A314" s="78">
        <v>31.1</v>
      </c>
      <c r="B314" s="67">
        <v>3.14</v>
      </c>
      <c r="C314" s="81">
        <v>5.2143799999999999E-9</v>
      </c>
      <c r="D314" s="67">
        <v>3.14</v>
      </c>
      <c r="E314" s="81">
        <v>-3.9906700000000001E-7</v>
      </c>
    </row>
    <row r="315" spans="1:5">
      <c r="A315" s="76">
        <v>31.2</v>
      </c>
      <c r="B315" s="66">
        <v>3.14</v>
      </c>
      <c r="C315" s="80">
        <v>4.7646300000000003E-9</v>
      </c>
      <c r="D315" s="66">
        <v>3.14</v>
      </c>
      <c r="E315" s="80">
        <v>-3.9687500000000001E-7</v>
      </c>
    </row>
    <row r="316" spans="1:5">
      <c r="A316" s="78">
        <v>31.3</v>
      </c>
      <c r="B316" s="67">
        <v>3.14</v>
      </c>
      <c r="C316" s="81">
        <v>4.3411700000000002E-9</v>
      </c>
      <c r="D316" s="67">
        <v>3.14</v>
      </c>
      <c r="E316" s="81">
        <v>-3.9287299999999997E-7</v>
      </c>
    </row>
    <row r="317" spans="1:5">
      <c r="A317" s="76">
        <v>31.4</v>
      </c>
      <c r="B317" s="66">
        <v>3.14</v>
      </c>
      <c r="C317" s="80">
        <v>3.9433599999999999E-9</v>
      </c>
      <c r="D317" s="66">
        <v>3.14</v>
      </c>
      <c r="E317" s="80">
        <v>-3.8725599999999998E-7</v>
      </c>
    </row>
    <row r="318" spans="1:5">
      <c r="A318" s="78">
        <v>31.5</v>
      </c>
      <c r="B318" s="67">
        <v>3.14</v>
      </c>
      <c r="C318" s="81">
        <v>3.5704600000000001E-9</v>
      </c>
      <c r="D318" s="67">
        <v>3.14</v>
      </c>
      <c r="E318" s="81">
        <v>-3.8020399999999998E-7</v>
      </c>
    </row>
    <row r="319" spans="1:5">
      <c r="A319" s="76">
        <v>31.6</v>
      </c>
      <c r="B319" s="66">
        <v>3.14</v>
      </c>
      <c r="C319" s="80">
        <v>3.2216700000000001E-9</v>
      </c>
      <c r="D319" s="66">
        <v>3.14</v>
      </c>
      <c r="E319" s="80">
        <v>-3.7189199999999998E-7</v>
      </c>
    </row>
    <row r="320" spans="1:5">
      <c r="A320" s="78">
        <v>31.7</v>
      </c>
      <c r="B320" s="67">
        <v>3.14</v>
      </c>
      <c r="C320" s="81">
        <v>2.8961699999999999E-9</v>
      </c>
      <c r="D320" s="67">
        <v>3.14</v>
      </c>
      <c r="E320" s="81">
        <v>-3.62482E-7</v>
      </c>
    </row>
    <row r="321" spans="1:5">
      <c r="A321" s="76">
        <v>31.8</v>
      </c>
      <c r="B321" s="66">
        <v>3.14</v>
      </c>
      <c r="C321" s="80">
        <v>2.59307E-9</v>
      </c>
      <c r="D321" s="66">
        <v>3.14</v>
      </c>
      <c r="E321" s="80">
        <v>-3.5212600000000001E-7</v>
      </c>
    </row>
    <row r="322" spans="1:5">
      <c r="A322" s="78">
        <v>31.9</v>
      </c>
      <c r="B322" s="67">
        <v>3.14</v>
      </c>
      <c r="C322" s="81">
        <v>2.3114600000000002E-9</v>
      </c>
      <c r="D322" s="67">
        <v>3.14</v>
      </c>
      <c r="E322" s="81">
        <v>-3.4096699999999999E-7</v>
      </c>
    </row>
    <row r="323" spans="1:5">
      <c r="A323" s="76">
        <v>32</v>
      </c>
      <c r="B323" s="66">
        <v>3.14</v>
      </c>
      <c r="C323" s="80">
        <v>2.05042E-9</v>
      </c>
      <c r="D323" s="66">
        <v>3.14</v>
      </c>
      <c r="E323" s="80">
        <v>-3.2913900000000002E-7</v>
      </c>
    </row>
    <row r="324" spans="1:5">
      <c r="A324" s="78">
        <v>32.1</v>
      </c>
      <c r="B324" s="67">
        <v>3.14</v>
      </c>
      <c r="C324" s="81">
        <v>1.8090000000000001E-9</v>
      </c>
      <c r="D324" s="67">
        <v>3.14</v>
      </c>
      <c r="E324" s="81">
        <v>-3.1676500000000002E-7</v>
      </c>
    </row>
    <row r="325" spans="1:5">
      <c r="A325" s="76">
        <v>32.200000000000003</v>
      </c>
      <c r="B325" s="66">
        <v>3.14</v>
      </c>
      <c r="C325" s="80">
        <v>1.5862699999999999E-9</v>
      </c>
      <c r="D325" s="66">
        <v>3.14</v>
      </c>
      <c r="E325" s="80">
        <v>-3.0396199999999998E-7</v>
      </c>
    </row>
    <row r="326" spans="1:5">
      <c r="A326" s="78">
        <v>32.299999999999997</v>
      </c>
      <c r="B326" s="67">
        <v>3.14</v>
      </c>
      <c r="C326" s="81">
        <v>1.3812900000000001E-9</v>
      </c>
      <c r="D326" s="67">
        <v>3.14</v>
      </c>
      <c r="E326" s="81">
        <v>-2.9083299999999999E-7</v>
      </c>
    </row>
    <row r="327" spans="1:5">
      <c r="A327" s="76">
        <v>32.4</v>
      </c>
      <c r="B327" s="66">
        <v>3.14</v>
      </c>
      <c r="C327" s="80">
        <v>1.19311E-9</v>
      </c>
      <c r="D327" s="66">
        <v>3.14</v>
      </c>
      <c r="E327" s="80">
        <v>-2.7747899999999999E-7</v>
      </c>
    </row>
    <row r="328" spans="1:5">
      <c r="A328" s="78">
        <v>32.5</v>
      </c>
      <c r="B328" s="67">
        <v>3.14</v>
      </c>
      <c r="C328" s="81">
        <v>1.02082E-9</v>
      </c>
      <c r="D328" s="67">
        <v>3.14</v>
      </c>
      <c r="E328" s="81">
        <v>-2.6398699999999999E-7</v>
      </c>
    </row>
    <row r="329" spans="1:5">
      <c r="A329" s="76">
        <v>32.6</v>
      </c>
      <c r="B329" s="66">
        <v>3.14</v>
      </c>
      <c r="C329" s="80">
        <v>8.6351700000000001E-10</v>
      </c>
      <c r="D329" s="66">
        <v>3.14</v>
      </c>
      <c r="E329" s="80">
        <v>-2.5044000000000001E-7</v>
      </c>
    </row>
    <row r="330" spans="1:5">
      <c r="A330" s="78">
        <v>32.700000000000003</v>
      </c>
      <c r="B330" s="67">
        <v>3.14</v>
      </c>
      <c r="C330" s="81">
        <v>7.2031199999999998E-10</v>
      </c>
      <c r="D330" s="67">
        <v>3.14</v>
      </c>
      <c r="E330" s="81">
        <v>-2.36912E-7</v>
      </c>
    </row>
    <row r="331" spans="1:5">
      <c r="A331" s="76">
        <v>32.799999999999997</v>
      </c>
      <c r="B331" s="66">
        <v>3.14</v>
      </c>
      <c r="C331" s="80">
        <v>5.9034499999999999E-10</v>
      </c>
      <c r="D331" s="66">
        <v>3.14</v>
      </c>
      <c r="E331" s="80">
        <v>-2.2347E-7</v>
      </c>
    </row>
    <row r="332" spans="1:5">
      <c r="A332" s="78">
        <v>32.9</v>
      </c>
      <c r="B332" s="67">
        <v>3.14</v>
      </c>
      <c r="C332" s="81">
        <v>4.7277899999999999E-10</v>
      </c>
      <c r="D332" s="67">
        <v>3.14</v>
      </c>
      <c r="E332" s="81">
        <v>-2.1017400000000001E-7</v>
      </c>
    </row>
    <row r="333" spans="1:5">
      <c r="A333" s="76">
        <v>33</v>
      </c>
      <c r="B333" s="66">
        <v>3.14</v>
      </c>
      <c r="C333" s="80">
        <v>3.6680500000000001E-10</v>
      </c>
      <c r="D333" s="66">
        <v>3.14</v>
      </c>
      <c r="E333" s="80">
        <v>-1.9707800000000001E-7</v>
      </c>
    </row>
    <row r="334" spans="1:5">
      <c r="A334" s="78">
        <v>33.1</v>
      </c>
      <c r="B334" s="67">
        <v>3.14</v>
      </c>
      <c r="C334" s="81">
        <v>2.7164100000000001E-10</v>
      </c>
      <c r="D334" s="67">
        <v>3.14</v>
      </c>
      <c r="E334" s="81">
        <v>-1.84229E-7</v>
      </c>
    </row>
    <row r="335" spans="1:5">
      <c r="A335" s="76">
        <v>33.200000000000003</v>
      </c>
      <c r="B335" s="66">
        <v>3.14</v>
      </c>
      <c r="C335" s="80">
        <v>1.86539E-10</v>
      </c>
      <c r="D335" s="66">
        <v>3.14</v>
      </c>
      <c r="E335" s="80">
        <v>-1.71669E-7</v>
      </c>
    </row>
    <row r="336" spans="1:5">
      <c r="A336" s="78">
        <v>33.299999999999997</v>
      </c>
      <c r="B336" s="67">
        <v>3.14</v>
      </c>
      <c r="C336" s="81">
        <v>1.10778E-10</v>
      </c>
      <c r="D336" s="67">
        <v>3.14</v>
      </c>
      <c r="E336" s="81">
        <v>-1.59435E-7</v>
      </c>
    </row>
    <row r="337" spans="1:5">
      <c r="A337" s="76">
        <v>33.4</v>
      </c>
      <c r="B337" s="66">
        <v>3.14</v>
      </c>
      <c r="C337" s="80">
        <v>4.3671600000000002E-11</v>
      </c>
      <c r="D337" s="66">
        <v>3.14</v>
      </c>
      <c r="E337" s="80">
        <v>-1.47557E-7</v>
      </c>
    </row>
    <row r="338" spans="1:5">
      <c r="A338" s="78">
        <v>33.5</v>
      </c>
      <c r="B338" s="67">
        <v>3.14</v>
      </c>
      <c r="C338" s="81">
        <v>-1.5437499999999998E-11</v>
      </c>
      <c r="D338" s="67">
        <v>3.14</v>
      </c>
      <c r="E338" s="81">
        <v>-1.3606199999999999E-7</v>
      </c>
    </row>
    <row r="339" spans="1:5">
      <c r="A339" s="76">
        <v>33.6</v>
      </c>
      <c r="B339" s="66">
        <v>3.14</v>
      </c>
      <c r="C339" s="80">
        <v>-6.71728E-11</v>
      </c>
      <c r="D339" s="66">
        <v>3.14</v>
      </c>
      <c r="E339" s="80">
        <v>-1.2497099999999999E-7</v>
      </c>
    </row>
    <row r="340" spans="1:5">
      <c r="A340" s="78">
        <v>33.700000000000003</v>
      </c>
      <c r="B340" s="67">
        <v>3.14</v>
      </c>
      <c r="C340" s="81">
        <v>-1.12126E-10</v>
      </c>
      <c r="D340" s="67">
        <v>3.14</v>
      </c>
      <c r="E340" s="81">
        <v>-1.14304E-7</v>
      </c>
    </row>
    <row r="341" spans="1:5">
      <c r="A341" s="76">
        <v>33.799999999999997</v>
      </c>
      <c r="B341" s="66">
        <v>3.14</v>
      </c>
      <c r="C341" s="80">
        <v>-1.50859E-10</v>
      </c>
      <c r="D341" s="66">
        <v>3.14</v>
      </c>
      <c r="E341" s="80">
        <v>-1.0407199999999999E-7</v>
      </c>
    </row>
    <row r="342" spans="1:5">
      <c r="A342" s="78">
        <v>33.9</v>
      </c>
      <c r="B342" s="67">
        <v>3.14</v>
      </c>
      <c r="C342" s="81">
        <v>-1.8390000000000001E-10</v>
      </c>
      <c r="D342" s="67">
        <v>3.14</v>
      </c>
      <c r="E342" s="81">
        <v>-9.4288300000000007E-8</v>
      </c>
    </row>
    <row r="343" spans="1:5">
      <c r="A343" s="76">
        <v>34</v>
      </c>
      <c r="B343" s="66">
        <v>3.14</v>
      </c>
      <c r="C343" s="80">
        <v>-2.1174999999999999E-10</v>
      </c>
      <c r="D343" s="66">
        <v>3.14</v>
      </c>
      <c r="E343" s="80">
        <v>-8.4958199999999996E-8</v>
      </c>
    </row>
    <row r="344" spans="1:5">
      <c r="A344" s="78">
        <v>34.1</v>
      </c>
      <c r="B344" s="67">
        <v>3.14</v>
      </c>
      <c r="C344" s="81">
        <v>-2.3487599999999999E-10</v>
      </c>
      <c r="D344" s="67">
        <v>3.14</v>
      </c>
      <c r="E344" s="81">
        <v>-7.6086199999999995E-8</v>
      </c>
    </row>
    <row r="345" spans="1:5">
      <c r="A345" s="76">
        <v>34.200000000000003</v>
      </c>
      <c r="B345" s="66">
        <v>3.14</v>
      </c>
      <c r="C345" s="80">
        <v>-2.5371999999999998E-10</v>
      </c>
      <c r="D345" s="66">
        <v>3.14</v>
      </c>
      <c r="E345" s="80">
        <v>-6.7673899999999996E-8</v>
      </c>
    </row>
    <row r="346" spans="1:5">
      <c r="A346" s="78">
        <v>34.299999999999997</v>
      </c>
      <c r="B346" s="67">
        <v>3.14</v>
      </c>
      <c r="C346" s="81">
        <v>-2.68693E-10</v>
      </c>
      <c r="D346" s="67">
        <v>3.14</v>
      </c>
      <c r="E346" s="81">
        <v>-5.9719999999999995E-8</v>
      </c>
    </row>
    <row r="347" spans="1:5">
      <c r="A347" s="76">
        <v>34.4</v>
      </c>
      <c r="B347" s="66">
        <v>3.14</v>
      </c>
      <c r="C347" s="80">
        <v>-2.8018200000000003E-10</v>
      </c>
      <c r="D347" s="66">
        <v>3.14</v>
      </c>
      <c r="E347" s="80">
        <v>-5.2221399999999997E-8</v>
      </c>
    </row>
    <row r="348" spans="1:5">
      <c r="A348" s="78">
        <v>34.5</v>
      </c>
      <c r="B348" s="67">
        <v>3.14</v>
      </c>
      <c r="C348" s="81">
        <v>-2.8854500000000001E-10</v>
      </c>
      <c r="D348" s="67">
        <v>3.14</v>
      </c>
      <c r="E348" s="81">
        <v>-4.5172600000000002E-8</v>
      </c>
    </row>
    <row r="349" spans="1:5">
      <c r="A349" s="76">
        <v>34.6</v>
      </c>
      <c r="B349" s="66">
        <v>3.14</v>
      </c>
      <c r="C349" s="80">
        <v>-2.9411599999999998E-10</v>
      </c>
      <c r="D349" s="66">
        <v>3.14</v>
      </c>
      <c r="E349" s="80">
        <v>-3.8566700000000001E-8</v>
      </c>
    </row>
    <row r="350" spans="1:5">
      <c r="A350" s="78">
        <v>34.700000000000003</v>
      </c>
      <c r="B350" s="67">
        <v>3.14</v>
      </c>
      <c r="C350" s="81">
        <v>-2.9720500000000001E-10</v>
      </c>
      <c r="D350" s="67">
        <v>3.14</v>
      </c>
      <c r="E350" s="81">
        <v>-3.2395E-8</v>
      </c>
    </row>
    <row r="351" spans="1:5">
      <c r="A351" s="76">
        <v>34.799999999999997</v>
      </c>
      <c r="B351" s="66">
        <v>3.14</v>
      </c>
      <c r="C351" s="80">
        <v>-2.9809899999999998E-10</v>
      </c>
      <c r="D351" s="66">
        <v>3.14</v>
      </c>
      <c r="E351" s="80">
        <v>-2.6647399999999999E-8</v>
      </c>
    </row>
    <row r="352" spans="1:5">
      <c r="A352" s="78">
        <v>34.9</v>
      </c>
      <c r="B352" s="67">
        <v>3.14</v>
      </c>
      <c r="C352" s="81">
        <v>-2.9706200000000002E-10</v>
      </c>
      <c r="D352" s="67">
        <v>3.14</v>
      </c>
      <c r="E352" s="81">
        <v>-2.1312700000000001E-8</v>
      </c>
    </row>
    <row r="353" spans="1:5">
      <c r="A353" s="76">
        <v>35</v>
      </c>
      <c r="B353" s="66">
        <v>3.14</v>
      </c>
      <c r="C353" s="80">
        <v>-2.9433800000000002E-10</v>
      </c>
      <c r="D353" s="66">
        <v>3.14</v>
      </c>
      <c r="E353" s="80">
        <v>-1.6378700000000001E-8</v>
      </c>
    </row>
    <row r="354" spans="1:5">
      <c r="A354" s="78">
        <v>35.1</v>
      </c>
      <c r="B354" s="67">
        <v>3.14</v>
      </c>
      <c r="C354" s="81">
        <v>-2.90153E-10</v>
      </c>
      <c r="D354" s="67">
        <v>3.14</v>
      </c>
      <c r="E354" s="81">
        <v>-1.18321E-8</v>
      </c>
    </row>
    <row r="355" spans="1:5">
      <c r="A355" s="76">
        <v>35.200000000000003</v>
      </c>
      <c r="B355" s="66">
        <v>3.14</v>
      </c>
      <c r="C355" s="80">
        <v>-2.84711E-10</v>
      </c>
      <c r="D355" s="66">
        <v>3.14</v>
      </c>
      <c r="E355" s="80">
        <v>-7.6592199999999999E-9</v>
      </c>
    </row>
    <row r="356" spans="1:5">
      <c r="A356" s="78">
        <v>35.299999999999997</v>
      </c>
      <c r="B356" s="67">
        <v>3.14</v>
      </c>
      <c r="C356" s="81">
        <v>-2.7820099999999999E-10</v>
      </c>
      <c r="D356" s="67">
        <v>3.14</v>
      </c>
      <c r="E356" s="81">
        <v>-3.8455300000000001E-9</v>
      </c>
    </row>
    <row r="357" spans="1:5">
      <c r="A357" s="76">
        <v>35.4</v>
      </c>
      <c r="B357" s="66">
        <v>3.14</v>
      </c>
      <c r="C357" s="80">
        <v>-2.7079299999999998E-10</v>
      </c>
      <c r="D357" s="66">
        <v>3.14</v>
      </c>
      <c r="E357" s="80">
        <v>-3.7617999999999999E-10</v>
      </c>
    </row>
    <row r="358" spans="1:5">
      <c r="A358" s="78">
        <v>35.5</v>
      </c>
      <c r="B358" s="67">
        <v>3.14</v>
      </c>
      <c r="C358" s="81">
        <v>-2.6264499999999998E-10</v>
      </c>
      <c r="D358" s="67">
        <v>3.14</v>
      </c>
      <c r="E358" s="81">
        <v>2.7640399999999999E-9</v>
      </c>
    </row>
    <row r="359" spans="1:5">
      <c r="A359" s="76">
        <v>35.6</v>
      </c>
      <c r="B359" s="66">
        <v>3.14</v>
      </c>
      <c r="C359" s="80">
        <v>-2.5389499999999998E-10</v>
      </c>
      <c r="D359" s="66">
        <v>3.14</v>
      </c>
      <c r="E359" s="80">
        <v>5.5905699999999996E-9</v>
      </c>
    </row>
    <row r="360" spans="1:5">
      <c r="A360" s="78">
        <v>35.700000000000003</v>
      </c>
      <c r="B360" s="67">
        <v>3.14</v>
      </c>
      <c r="C360" s="81">
        <v>-2.4467300000000002E-10</v>
      </c>
      <c r="D360" s="67">
        <v>3.14</v>
      </c>
      <c r="E360" s="81">
        <v>8.1189600000000003E-9</v>
      </c>
    </row>
    <row r="361" spans="1:5">
      <c r="A361" s="76">
        <v>35.799999999999997</v>
      </c>
      <c r="B361" s="66">
        <v>3.14</v>
      </c>
      <c r="C361" s="80">
        <v>-2.3509299999999999E-10</v>
      </c>
      <c r="D361" s="66">
        <v>3.14</v>
      </c>
      <c r="E361" s="80">
        <v>1.03648E-8</v>
      </c>
    </row>
    <row r="362" spans="1:5">
      <c r="A362" s="78">
        <v>35.9</v>
      </c>
      <c r="B362" s="67">
        <v>3.14</v>
      </c>
      <c r="C362" s="81">
        <v>-2.25256E-10</v>
      </c>
      <c r="D362" s="67">
        <v>3.14</v>
      </c>
      <c r="E362" s="81">
        <v>1.2343599999999999E-8</v>
      </c>
    </row>
    <row r="363" spans="1:5">
      <c r="A363" s="76">
        <v>36</v>
      </c>
      <c r="B363" s="66">
        <v>3.14</v>
      </c>
      <c r="C363" s="80">
        <v>-2.1525600000000001E-10</v>
      </c>
      <c r="D363" s="66">
        <v>3.14</v>
      </c>
      <c r="E363" s="80">
        <v>1.40709E-8</v>
      </c>
    </row>
    <row r="364" spans="1:5">
      <c r="A364" s="78">
        <v>36.1</v>
      </c>
      <c r="B364" s="67">
        <v>3.14</v>
      </c>
      <c r="C364" s="81">
        <v>-2.05173E-10</v>
      </c>
      <c r="D364" s="67">
        <v>3.14</v>
      </c>
      <c r="E364" s="81">
        <v>1.5561700000000001E-8</v>
      </c>
    </row>
    <row r="365" spans="1:5">
      <c r="A365" s="76">
        <v>36.200000000000003</v>
      </c>
      <c r="B365" s="66">
        <v>3.14</v>
      </c>
      <c r="C365" s="80">
        <v>-1.95078E-10</v>
      </c>
      <c r="D365" s="66">
        <v>3.14</v>
      </c>
      <c r="E365" s="80">
        <v>1.6831200000000001E-8</v>
      </c>
    </row>
    <row r="366" spans="1:5">
      <c r="A366" s="78">
        <v>36.299999999999997</v>
      </c>
      <c r="B366" s="67">
        <v>3.14</v>
      </c>
      <c r="C366" s="81">
        <v>-1.85035E-10</v>
      </c>
      <c r="D366" s="67">
        <v>3.14</v>
      </c>
      <c r="E366" s="81">
        <v>1.7893899999999999E-8</v>
      </c>
    </row>
    <row r="367" spans="1:5">
      <c r="A367" s="76">
        <v>36.4</v>
      </c>
      <c r="B367" s="66">
        <v>3.14</v>
      </c>
      <c r="C367" s="80">
        <v>-1.751E-10</v>
      </c>
      <c r="D367" s="66">
        <v>3.14</v>
      </c>
      <c r="E367" s="80">
        <v>1.8764300000000001E-8</v>
      </c>
    </row>
    <row r="368" spans="1:5">
      <c r="A368" s="78">
        <v>36.5</v>
      </c>
      <c r="B368" s="67">
        <v>3.14</v>
      </c>
      <c r="C368" s="81">
        <v>-1.6531800000000001E-10</v>
      </c>
      <c r="D368" s="67">
        <v>3.14</v>
      </c>
      <c r="E368" s="81">
        <v>1.9456100000000001E-8</v>
      </c>
    </row>
    <row r="369" spans="1:5">
      <c r="A369" s="76">
        <v>36.6</v>
      </c>
      <c r="B369" s="66">
        <v>3.14</v>
      </c>
      <c r="C369" s="80">
        <v>-1.5573200000000001E-10</v>
      </c>
      <c r="D369" s="66">
        <v>3.14</v>
      </c>
      <c r="E369" s="80">
        <v>1.9983000000000001E-8</v>
      </c>
    </row>
    <row r="370" spans="1:5">
      <c r="A370" s="78">
        <v>36.700000000000003</v>
      </c>
      <c r="B370" s="67">
        <v>3.14</v>
      </c>
      <c r="C370" s="81">
        <v>-1.46375E-10</v>
      </c>
      <c r="D370" s="67">
        <v>3.14</v>
      </c>
      <c r="E370" s="81">
        <v>2.0357900000000001E-8</v>
      </c>
    </row>
    <row r="371" spans="1:5">
      <c r="A371" s="76">
        <v>36.799999999999997</v>
      </c>
      <c r="B371" s="66">
        <v>3.14</v>
      </c>
      <c r="C371" s="80">
        <v>-1.3727699999999999E-10</v>
      </c>
      <c r="D371" s="66">
        <v>3.14</v>
      </c>
      <c r="E371" s="80">
        <v>2.0593600000000001E-8</v>
      </c>
    </row>
    <row r="372" spans="1:5">
      <c r="A372" s="78">
        <v>36.9</v>
      </c>
      <c r="B372" s="67">
        <v>3.14</v>
      </c>
      <c r="C372" s="81">
        <v>-1.28461E-10</v>
      </c>
      <c r="D372" s="67">
        <v>3.14</v>
      </c>
      <c r="E372" s="81">
        <v>2.0701999999999999E-8</v>
      </c>
    </row>
    <row r="373" spans="1:5">
      <c r="A373" s="76">
        <v>37</v>
      </c>
      <c r="B373" s="66">
        <v>3.14</v>
      </c>
      <c r="C373" s="80">
        <v>-1.19946E-10</v>
      </c>
      <c r="D373" s="66">
        <v>3.14</v>
      </c>
      <c r="E373" s="80">
        <v>2.06948E-8</v>
      </c>
    </row>
    <row r="374" spans="1:5">
      <c r="A374" s="78">
        <v>37.1</v>
      </c>
      <c r="B374" s="67">
        <v>3.14</v>
      </c>
      <c r="C374" s="81">
        <v>-1.11747E-10</v>
      </c>
      <c r="D374" s="67">
        <v>3.14</v>
      </c>
      <c r="E374" s="81">
        <v>2.0583E-8</v>
      </c>
    </row>
    <row r="375" spans="1:5">
      <c r="A375" s="76">
        <v>37.200000000000003</v>
      </c>
      <c r="B375" s="66">
        <v>3.14</v>
      </c>
      <c r="C375" s="80">
        <v>-1.03876E-10</v>
      </c>
      <c r="D375" s="66">
        <v>3.14</v>
      </c>
      <c r="E375" s="80">
        <v>2.0377199999999999E-8</v>
      </c>
    </row>
    <row r="376" spans="1:5">
      <c r="A376" s="78">
        <v>37.299999999999997</v>
      </c>
      <c r="B376" s="67">
        <v>3.14</v>
      </c>
      <c r="C376" s="81">
        <v>-9.6339699999999995E-11</v>
      </c>
      <c r="D376" s="67">
        <v>3.14</v>
      </c>
      <c r="E376" s="81">
        <v>2.0087400000000002E-8</v>
      </c>
    </row>
    <row r="377" spans="1:5">
      <c r="A377" s="76">
        <v>37.4</v>
      </c>
      <c r="B377" s="66">
        <v>3.14</v>
      </c>
      <c r="C377" s="80">
        <v>-8.9143299999999994E-11</v>
      </c>
      <c r="D377" s="66">
        <v>3.14</v>
      </c>
      <c r="E377" s="80">
        <v>1.9723099999999999E-8</v>
      </c>
    </row>
    <row r="378" spans="1:5">
      <c r="A378" s="78">
        <v>37.5</v>
      </c>
      <c r="B378" s="67">
        <v>3.14</v>
      </c>
      <c r="C378" s="81">
        <v>-8.2288699999999994E-11</v>
      </c>
      <c r="D378" s="67">
        <v>3.14</v>
      </c>
      <c r="E378" s="81">
        <v>1.9293299999999999E-8</v>
      </c>
    </row>
    <row r="379" spans="1:5">
      <c r="A379" s="76">
        <v>37.6</v>
      </c>
      <c r="B379" s="66">
        <v>3.14</v>
      </c>
      <c r="C379" s="80">
        <v>-7.5775699999999995E-11</v>
      </c>
      <c r="D379" s="66">
        <v>3.14</v>
      </c>
      <c r="E379" s="80">
        <v>1.8806299999999999E-8</v>
      </c>
    </row>
    <row r="380" spans="1:5">
      <c r="A380" s="78">
        <v>37.700000000000003</v>
      </c>
      <c r="B380" s="67">
        <v>3.14</v>
      </c>
      <c r="C380" s="81">
        <v>-6.9602200000000001E-11</v>
      </c>
      <c r="D380" s="67">
        <v>3.14</v>
      </c>
      <c r="E380" s="81">
        <v>1.82701E-8</v>
      </c>
    </row>
    <row r="381" spans="1:5">
      <c r="A381" s="76">
        <v>37.799999999999997</v>
      </c>
      <c r="B381" s="66">
        <v>3.14</v>
      </c>
      <c r="C381" s="80">
        <v>-6.3763899999999997E-11</v>
      </c>
      <c r="D381" s="66">
        <v>3.14</v>
      </c>
      <c r="E381" s="80">
        <v>1.7692200000000001E-8</v>
      </c>
    </row>
    <row r="382" spans="1:5">
      <c r="A382" s="78">
        <v>37.9</v>
      </c>
      <c r="B382" s="67">
        <v>3.14</v>
      </c>
      <c r="C382" s="81">
        <v>-5.8255199999999996E-11</v>
      </c>
      <c r="D382" s="67">
        <v>3.14</v>
      </c>
      <c r="E382" s="81">
        <v>1.7079500000000001E-8</v>
      </c>
    </row>
    <row r="383" spans="1:5">
      <c r="A383" s="76">
        <v>38</v>
      </c>
      <c r="B383" s="66">
        <v>3.14</v>
      </c>
      <c r="C383" s="80">
        <v>-5.3069200000000001E-11</v>
      </c>
      <c r="D383" s="66">
        <v>3.14</v>
      </c>
      <c r="E383" s="80">
        <v>1.6438300000000001E-8</v>
      </c>
    </row>
    <row r="384" spans="1:5">
      <c r="A384" s="78">
        <v>38.1</v>
      </c>
      <c r="B384" s="67">
        <v>3.14</v>
      </c>
      <c r="C384" s="81">
        <v>-4.8197800000000002E-11</v>
      </c>
      <c r="D384" s="67">
        <v>3.14</v>
      </c>
      <c r="E384" s="81">
        <v>1.57748E-8</v>
      </c>
    </row>
    <row r="385" spans="1:5">
      <c r="A385" s="76">
        <v>38.200000000000003</v>
      </c>
      <c r="B385" s="66">
        <v>3.14</v>
      </c>
      <c r="C385" s="80">
        <v>-4.3632E-11</v>
      </c>
      <c r="D385" s="66">
        <v>3.14</v>
      </c>
      <c r="E385" s="80">
        <v>1.5094299999999999E-8</v>
      </c>
    </row>
    <row r="386" spans="1:5">
      <c r="A386" s="78">
        <v>38.299999999999997</v>
      </c>
      <c r="B386" s="67">
        <v>3.14</v>
      </c>
      <c r="C386" s="81">
        <v>-3.9362099999999998E-11</v>
      </c>
      <c r="D386" s="67">
        <v>3.14</v>
      </c>
      <c r="E386" s="81">
        <v>1.4402000000000001E-8</v>
      </c>
    </row>
    <row r="387" spans="1:5">
      <c r="A387" s="76">
        <v>38.4</v>
      </c>
      <c r="B387" s="66">
        <v>3.14</v>
      </c>
      <c r="C387" s="80">
        <v>-3.5377600000000002E-11</v>
      </c>
      <c r="D387" s="66">
        <v>3.14</v>
      </c>
      <c r="E387" s="80">
        <v>1.37025E-8</v>
      </c>
    </row>
    <row r="388" spans="1:5">
      <c r="A388" s="78">
        <v>38.5</v>
      </c>
      <c r="B388" s="67">
        <v>3.14</v>
      </c>
      <c r="C388" s="81">
        <v>-3.1667800000000002E-11</v>
      </c>
      <c r="D388" s="67">
        <v>3.14</v>
      </c>
      <c r="E388" s="81">
        <v>1.3000000000000001E-8</v>
      </c>
    </row>
    <row r="389" spans="1:5">
      <c r="A389" s="76">
        <v>38.6</v>
      </c>
      <c r="B389" s="66">
        <v>3.14</v>
      </c>
      <c r="C389" s="80">
        <v>-2.82215E-11</v>
      </c>
      <c r="D389" s="66">
        <v>3.14</v>
      </c>
      <c r="E389" s="80">
        <v>1.2298499999999999E-8</v>
      </c>
    </row>
    <row r="390" spans="1:5">
      <c r="A390" s="78">
        <v>38.700000000000003</v>
      </c>
      <c r="B390" s="67">
        <v>3.14</v>
      </c>
      <c r="C390" s="81">
        <v>-2.5027299999999999E-11</v>
      </c>
      <c r="D390" s="67">
        <v>3.14</v>
      </c>
      <c r="E390" s="81">
        <v>1.16013E-8</v>
      </c>
    </row>
    <row r="391" spans="1:5">
      <c r="A391" s="76">
        <v>38.799999999999997</v>
      </c>
      <c r="B391" s="66">
        <v>3.14</v>
      </c>
      <c r="C391" s="80">
        <v>-2.2073600000000002E-11</v>
      </c>
      <c r="D391" s="66">
        <v>3.14</v>
      </c>
      <c r="E391" s="80">
        <v>1.0911700000000001E-8</v>
      </c>
    </row>
    <row r="392" spans="1:5">
      <c r="A392" s="78">
        <v>38.9</v>
      </c>
      <c r="B392" s="67">
        <v>3.14</v>
      </c>
      <c r="C392" s="81">
        <v>-1.9348900000000001E-11</v>
      </c>
      <c r="D392" s="67">
        <v>3.14</v>
      </c>
      <c r="E392" s="81">
        <v>1.02323E-8</v>
      </c>
    </row>
    <row r="393" spans="1:5">
      <c r="A393" s="76">
        <v>39</v>
      </c>
      <c r="B393" s="66">
        <v>3.14</v>
      </c>
      <c r="C393" s="80">
        <v>-1.68416E-11</v>
      </c>
      <c r="D393" s="66">
        <v>3.14</v>
      </c>
      <c r="E393" s="80">
        <v>9.5657900000000003E-9</v>
      </c>
    </row>
    <row r="394" spans="1:5">
      <c r="A394" s="78">
        <v>39.1</v>
      </c>
      <c r="B394" s="67">
        <v>3.14</v>
      </c>
      <c r="C394" s="81">
        <v>-1.45402E-11</v>
      </c>
      <c r="D394" s="67">
        <v>3.14</v>
      </c>
      <c r="E394" s="81">
        <v>8.9141900000000006E-9</v>
      </c>
    </row>
    <row r="395" spans="1:5">
      <c r="A395" s="76">
        <v>39.200000000000003</v>
      </c>
      <c r="B395" s="66">
        <v>3.14</v>
      </c>
      <c r="C395" s="80">
        <v>-1.2433400000000001E-11</v>
      </c>
      <c r="D395" s="66">
        <v>3.14</v>
      </c>
      <c r="E395" s="80">
        <v>8.2794300000000006E-9</v>
      </c>
    </row>
    <row r="396" spans="1:5">
      <c r="A396" s="78">
        <v>39.299999999999997</v>
      </c>
      <c r="B396" s="67">
        <v>3.14</v>
      </c>
      <c r="C396" s="81">
        <v>-1.0510100000000001E-11</v>
      </c>
      <c r="D396" s="67">
        <v>3.14</v>
      </c>
      <c r="E396" s="81">
        <v>7.6631300000000006E-9</v>
      </c>
    </row>
    <row r="397" spans="1:5">
      <c r="A397" s="76">
        <v>39.4</v>
      </c>
      <c r="B397" s="66">
        <v>3.14</v>
      </c>
      <c r="C397" s="80">
        <v>-8.7595699999999996E-12</v>
      </c>
      <c r="D397" s="66">
        <v>3.14</v>
      </c>
      <c r="E397" s="80">
        <v>7.0666599999999997E-9</v>
      </c>
    </row>
    <row r="398" spans="1:5">
      <c r="A398" s="78">
        <v>39.5</v>
      </c>
      <c r="B398" s="67">
        <v>3.14</v>
      </c>
      <c r="C398" s="81">
        <v>-7.1711199999999998E-12</v>
      </c>
      <c r="D398" s="67">
        <v>3.14</v>
      </c>
      <c r="E398" s="81">
        <v>6.4911599999999997E-9</v>
      </c>
    </row>
    <row r="399" spans="1:5">
      <c r="A399" s="76">
        <v>39.6</v>
      </c>
      <c r="B399" s="66">
        <v>3.14</v>
      </c>
      <c r="C399" s="80">
        <v>-5.7344999999999998E-12</v>
      </c>
      <c r="D399" s="66">
        <v>3.14</v>
      </c>
      <c r="E399" s="80">
        <v>5.9375600000000003E-9</v>
      </c>
    </row>
    <row r="400" spans="1:5">
      <c r="A400" s="78">
        <v>39.700000000000003</v>
      </c>
      <c r="B400" s="67">
        <v>3.14</v>
      </c>
      <c r="C400" s="81">
        <v>-4.4397700000000002E-12</v>
      </c>
      <c r="D400" s="67">
        <v>3.14</v>
      </c>
      <c r="E400" s="81">
        <v>5.40659E-9</v>
      </c>
    </row>
    <row r="401" spans="1:5">
      <c r="A401" s="76">
        <v>39.799999999999997</v>
      </c>
      <c r="B401" s="66">
        <v>3.14</v>
      </c>
      <c r="C401" s="80">
        <v>-3.27739E-12</v>
      </c>
      <c r="D401" s="66">
        <v>3.14</v>
      </c>
      <c r="E401" s="80">
        <v>4.8987899999999998E-9</v>
      </c>
    </row>
    <row r="402" spans="1:5">
      <c r="A402" s="78">
        <v>39.9</v>
      </c>
      <c r="B402" s="67">
        <v>3.14</v>
      </c>
      <c r="C402" s="81">
        <v>-2.2381699999999999E-12</v>
      </c>
      <c r="D402" s="67">
        <v>3.14</v>
      </c>
      <c r="E402" s="81">
        <v>4.4145200000000002E-9</v>
      </c>
    </row>
    <row r="403" spans="1:5">
      <c r="A403" s="76">
        <v>40</v>
      </c>
      <c r="B403" s="66">
        <v>3.14</v>
      </c>
      <c r="C403" s="80">
        <v>-1.3132500000000001E-12</v>
      </c>
      <c r="D403" s="66">
        <v>3.14</v>
      </c>
      <c r="E403" s="80">
        <v>3.9540100000000001E-9</v>
      </c>
    </row>
    <row r="404" spans="1:5">
      <c r="A404" s="78">
        <v>40.1</v>
      </c>
      <c r="B404" s="67">
        <v>3.14</v>
      </c>
      <c r="C404" s="81">
        <v>-4.9420800000000003E-13</v>
      </c>
      <c r="D404" s="67">
        <v>3.14</v>
      </c>
      <c r="E404" s="81">
        <v>3.5173299999999999E-9</v>
      </c>
    </row>
    <row r="405" spans="1:5">
      <c r="A405" s="76">
        <v>40.200000000000003</v>
      </c>
      <c r="B405" s="66">
        <v>3.14</v>
      </c>
      <c r="C405" s="80">
        <v>2.2698599999999999E-13</v>
      </c>
      <c r="D405" s="66">
        <v>3.14</v>
      </c>
      <c r="E405" s="80">
        <v>3.1044299999999998E-9</v>
      </c>
    </row>
    <row r="406" spans="1:5">
      <c r="A406" s="78">
        <v>40.299999999999997</v>
      </c>
      <c r="B406" s="67">
        <v>3.14</v>
      </c>
      <c r="C406" s="81">
        <v>8.5796000000000001E-13</v>
      </c>
      <c r="D406" s="67">
        <v>3.14</v>
      </c>
      <c r="E406" s="81">
        <v>2.7151400000000002E-9</v>
      </c>
    </row>
    <row r="407" spans="1:5">
      <c r="A407" s="76">
        <v>40.4</v>
      </c>
      <c r="B407" s="66">
        <v>3.14</v>
      </c>
      <c r="C407" s="80">
        <v>1.40598E-12</v>
      </c>
      <c r="D407" s="66">
        <v>3.14</v>
      </c>
      <c r="E407" s="80">
        <v>2.3491899999999998E-9</v>
      </c>
    </row>
    <row r="408" spans="1:5">
      <c r="A408" s="78">
        <v>40.5</v>
      </c>
      <c r="B408" s="67">
        <v>3.14</v>
      </c>
      <c r="C408" s="81">
        <v>1.87794E-12</v>
      </c>
      <c r="D408" s="67">
        <v>3.14</v>
      </c>
      <c r="E408" s="81">
        <v>2.0062099999999998E-9</v>
      </c>
    </row>
    <row r="409" spans="1:5">
      <c r="A409" s="76">
        <v>40.6</v>
      </c>
      <c r="B409" s="66">
        <v>3.14</v>
      </c>
      <c r="C409" s="80">
        <v>2.2803200000000001E-12</v>
      </c>
      <c r="D409" s="66">
        <v>3.14</v>
      </c>
      <c r="E409" s="80">
        <v>1.6857500000000001E-9</v>
      </c>
    </row>
    <row r="410" spans="1:5">
      <c r="A410" s="78">
        <v>40.700000000000003</v>
      </c>
      <c r="B410" s="67">
        <v>3.14</v>
      </c>
      <c r="C410" s="81">
        <v>2.6192199999999998E-12</v>
      </c>
      <c r="D410" s="67">
        <v>3.14</v>
      </c>
      <c r="E410" s="81">
        <v>1.3872900000000001E-9</v>
      </c>
    </row>
    <row r="411" spans="1:5">
      <c r="A411" s="76">
        <v>40.799999999999997</v>
      </c>
      <c r="B411" s="66">
        <v>3.14</v>
      </c>
      <c r="C411" s="80">
        <v>2.9003899999999999E-12</v>
      </c>
      <c r="D411" s="66">
        <v>3.14</v>
      </c>
      <c r="E411" s="80">
        <v>1.1102600000000001E-9</v>
      </c>
    </row>
    <row r="412" spans="1:5">
      <c r="A412" s="78">
        <v>40.9</v>
      </c>
      <c r="B412" s="67">
        <v>3.14</v>
      </c>
      <c r="C412" s="81">
        <v>3.1292199999999999E-12</v>
      </c>
      <c r="D412" s="67">
        <v>3.14</v>
      </c>
      <c r="E412" s="81">
        <v>8.5401100000000004E-10</v>
      </c>
    </row>
    <row r="413" spans="1:5">
      <c r="A413" s="76">
        <v>41</v>
      </c>
      <c r="B413" s="66">
        <v>3.14</v>
      </c>
      <c r="C413" s="80">
        <v>3.31077E-12</v>
      </c>
      <c r="D413" s="66">
        <v>3.14</v>
      </c>
      <c r="E413" s="80">
        <v>6.1787299999999998E-10</v>
      </c>
    </row>
    <row r="414" spans="1:5">
      <c r="A414" s="78">
        <v>41.1</v>
      </c>
      <c r="B414" s="67">
        <v>3.14</v>
      </c>
      <c r="C414" s="81">
        <v>3.4497300000000001E-12</v>
      </c>
      <c r="D414" s="67">
        <v>3.14</v>
      </c>
      <c r="E414" s="81">
        <v>4.0112399999999999E-10</v>
      </c>
    </row>
    <row r="415" spans="1:5">
      <c r="A415" s="76">
        <v>41.2</v>
      </c>
      <c r="B415" s="66">
        <v>3.14</v>
      </c>
      <c r="C415" s="80">
        <v>3.5505200000000001E-12</v>
      </c>
      <c r="D415" s="66">
        <v>3.14</v>
      </c>
      <c r="E415" s="80">
        <v>2.03016E-10</v>
      </c>
    </row>
    <row r="416" spans="1:5">
      <c r="A416" s="78">
        <v>41.3</v>
      </c>
      <c r="B416" s="67">
        <v>3.14</v>
      </c>
      <c r="C416" s="81">
        <v>3.6172100000000001E-12</v>
      </c>
      <c r="D416" s="67">
        <v>3.14</v>
      </c>
      <c r="E416" s="81">
        <v>2.27795E-11</v>
      </c>
    </row>
    <row r="417" spans="1:5">
      <c r="A417" s="76">
        <v>41.4</v>
      </c>
      <c r="B417" s="66">
        <v>3.14</v>
      </c>
      <c r="C417" s="80">
        <v>3.6535800000000003E-12</v>
      </c>
      <c r="D417" s="66">
        <v>3.14</v>
      </c>
      <c r="E417" s="80">
        <v>-1.4037499999999999E-10</v>
      </c>
    </row>
    <row r="418" spans="1:5">
      <c r="A418" s="78">
        <v>41.5</v>
      </c>
      <c r="B418" s="67">
        <v>3.14</v>
      </c>
      <c r="C418" s="81">
        <v>3.6631699999999996E-12</v>
      </c>
      <c r="D418" s="67">
        <v>3.14</v>
      </c>
      <c r="E418" s="81">
        <v>-2.87248E-10</v>
      </c>
    </row>
    <row r="419" spans="1:5">
      <c r="A419" s="76">
        <v>41.6</v>
      </c>
      <c r="B419" s="66">
        <v>3.14</v>
      </c>
      <c r="C419" s="80">
        <v>3.6492199999999997E-12</v>
      </c>
      <c r="D419" s="66">
        <v>3.14</v>
      </c>
      <c r="E419" s="80">
        <v>-4.1864500000000001E-10</v>
      </c>
    </row>
    <row r="420" spans="1:5">
      <c r="A420" s="78">
        <v>41.7</v>
      </c>
      <c r="B420" s="67">
        <v>3.14</v>
      </c>
      <c r="C420" s="81">
        <v>3.6146899999999998E-12</v>
      </c>
      <c r="D420" s="67">
        <v>3.14</v>
      </c>
      <c r="E420" s="81">
        <v>-5.3537600000000003E-10</v>
      </c>
    </row>
    <row r="421" spans="1:5">
      <c r="A421" s="76">
        <v>41.8</v>
      </c>
      <c r="B421" s="66">
        <v>3.14</v>
      </c>
      <c r="C421" s="80">
        <v>3.5623399999999999E-12</v>
      </c>
      <c r="D421" s="66">
        <v>3.14</v>
      </c>
      <c r="E421" s="80">
        <v>-6.38245E-10</v>
      </c>
    </row>
    <row r="422" spans="1:5">
      <c r="A422" s="78">
        <v>41.9</v>
      </c>
      <c r="B422" s="67">
        <v>3.14</v>
      </c>
      <c r="C422" s="81">
        <v>3.4946899999999999E-12</v>
      </c>
      <c r="D422" s="67">
        <v>3.14</v>
      </c>
      <c r="E422" s="81">
        <v>-7.2805300000000001E-10</v>
      </c>
    </row>
    <row r="423" spans="1:5">
      <c r="A423" s="76">
        <v>42</v>
      </c>
      <c r="B423" s="66">
        <v>3.14</v>
      </c>
      <c r="C423" s="80">
        <v>3.4140300000000001E-12</v>
      </c>
      <c r="D423" s="66">
        <v>3.14</v>
      </c>
      <c r="E423" s="80">
        <v>-8.0558799999999999E-10</v>
      </c>
    </row>
    <row r="424" spans="1:5">
      <c r="A424" s="78">
        <v>42.1</v>
      </c>
      <c r="B424" s="67">
        <v>3.14</v>
      </c>
      <c r="C424" s="81">
        <v>3.32246E-12</v>
      </c>
      <c r="D424" s="67">
        <v>3.14</v>
      </c>
      <c r="E424" s="81">
        <v>-8.71628E-10</v>
      </c>
    </row>
    <row r="425" spans="1:5">
      <c r="A425" s="76">
        <v>42.2</v>
      </c>
      <c r="B425" s="66">
        <v>3.14</v>
      </c>
      <c r="C425" s="80">
        <v>3.2218600000000002E-12</v>
      </c>
      <c r="D425" s="66">
        <v>3.14</v>
      </c>
      <c r="E425" s="80">
        <v>-9.2693300000000005E-10</v>
      </c>
    </row>
    <row r="426" spans="1:5">
      <c r="A426" s="78">
        <v>42.3</v>
      </c>
      <c r="B426" s="67">
        <v>3.14</v>
      </c>
      <c r="C426" s="81">
        <v>3.11398E-12</v>
      </c>
      <c r="D426" s="67">
        <v>3.14</v>
      </c>
      <c r="E426" s="81">
        <v>-9.722469999999999E-10</v>
      </c>
    </row>
    <row r="427" spans="1:5">
      <c r="A427" s="76">
        <v>42.4</v>
      </c>
      <c r="B427" s="66">
        <v>3.14</v>
      </c>
      <c r="C427" s="80">
        <v>3.0003899999999999E-12</v>
      </c>
      <c r="D427" s="66">
        <v>3.14</v>
      </c>
      <c r="E427" s="80">
        <v>-1.00829E-9</v>
      </c>
    </row>
    <row r="428" spans="1:5">
      <c r="A428" s="78">
        <v>42.5</v>
      </c>
      <c r="B428" s="67">
        <v>3.14</v>
      </c>
      <c r="C428" s="81">
        <v>2.8824500000000001E-12</v>
      </c>
      <c r="D428" s="67">
        <v>3.14</v>
      </c>
      <c r="E428" s="81">
        <v>-1.03577E-9</v>
      </c>
    </row>
    <row r="429" spans="1:5">
      <c r="A429" s="76">
        <v>42.6</v>
      </c>
      <c r="B429" s="66">
        <v>3.14</v>
      </c>
      <c r="C429" s="80">
        <v>2.7614299999999999E-12</v>
      </c>
      <c r="D429" s="66">
        <v>3.14</v>
      </c>
      <c r="E429" s="80">
        <v>-1.05536E-9</v>
      </c>
    </row>
    <row r="430" spans="1:5">
      <c r="A430" s="78">
        <v>42.7</v>
      </c>
      <c r="B430" s="67">
        <v>3.14</v>
      </c>
      <c r="C430" s="81">
        <v>2.6384799999999999E-12</v>
      </c>
      <c r="D430" s="67">
        <v>3.14</v>
      </c>
      <c r="E430" s="81">
        <v>-1.06771E-9</v>
      </c>
    </row>
    <row r="431" spans="1:5">
      <c r="A431" s="76">
        <v>42.8</v>
      </c>
      <c r="B431" s="66">
        <v>3.14</v>
      </c>
      <c r="C431" s="80">
        <v>2.51455E-12</v>
      </c>
      <c r="D431" s="66">
        <v>3.14</v>
      </c>
      <c r="E431" s="80">
        <v>-1.0734500000000001E-9</v>
      </c>
    </row>
    <row r="432" spans="1:5">
      <c r="A432" s="78">
        <v>42.9</v>
      </c>
      <c r="B432" s="67">
        <v>3.14</v>
      </c>
      <c r="C432" s="81">
        <v>2.39054E-12</v>
      </c>
      <c r="D432" s="67">
        <v>3.14</v>
      </c>
      <c r="E432" s="81">
        <v>-1.0731900000000001E-9</v>
      </c>
    </row>
    <row r="433" spans="1:5">
      <c r="A433" s="76">
        <v>43</v>
      </c>
      <c r="B433" s="66">
        <v>3.14</v>
      </c>
      <c r="C433" s="80">
        <v>2.26721E-12</v>
      </c>
      <c r="D433" s="66">
        <v>3.14</v>
      </c>
      <c r="E433" s="80">
        <v>-1.06749E-9</v>
      </c>
    </row>
    <row r="434" spans="1:5">
      <c r="A434" s="78">
        <v>43.1</v>
      </c>
      <c r="B434" s="67">
        <v>3.14</v>
      </c>
      <c r="C434" s="81">
        <v>2.1452399999999999E-12</v>
      </c>
      <c r="D434" s="67">
        <v>3.14</v>
      </c>
      <c r="E434" s="81">
        <v>-1.05691E-9</v>
      </c>
    </row>
    <row r="435" spans="1:5">
      <c r="A435" s="76">
        <v>43.2</v>
      </c>
      <c r="B435" s="66">
        <v>3.14</v>
      </c>
      <c r="C435" s="80">
        <v>2.0251599999999998E-12</v>
      </c>
      <c r="D435" s="66">
        <v>3.14</v>
      </c>
      <c r="E435" s="80">
        <v>-1.04196E-9</v>
      </c>
    </row>
    <row r="436" spans="1:5">
      <c r="A436" s="78">
        <v>43.3</v>
      </c>
      <c r="B436" s="67">
        <v>3.14</v>
      </c>
      <c r="C436" s="81">
        <v>1.9075099999999998E-12</v>
      </c>
      <c r="D436" s="67">
        <v>3.14</v>
      </c>
      <c r="E436" s="81">
        <v>-1.02314E-9</v>
      </c>
    </row>
    <row r="437" spans="1:5">
      <c r="A437" s="76">
        <v>43.4</v>
      </c>
      <c r="B437" s="66">
        <v>3.14</v>
      </c>
      <c r="C437" s="80">
        <v>1.79268E-12</v>
      </c>
      <c r="D437" s="66">
        <v>3.14</v>
      </c>
      <c r="E437" s="80">
        <v>-1.00091E-9</v>
      </c>
    </row>
    <row r="438" spans="1:5">
      <c r="A438" s="78">
        <v>43.5</v>
      </c>
      <c r="B438" s="67">
        <v>3.14</v>
      </c>
      <c r="C438" s="81">
        <v>1.68105E-12</v>
      </c>
      <c r="D438" s="67">
        <v>3.14</v>
      </c>
      <c r="E438" s="81">
        <v>-9.7570799999999991E-10</v>
      </c>
    </row>
    <row r="439" spans="1:5">
      <c r="A439" s="76">
        <v>43.6</v>
      </c>
      <c r="B439" s="66">
        <v>3.14</v>
      </c>
      <c r="C439" s="80">
        <v>1.57289E-12</v>
      </c>
      <c r="D439" s="66">
        <v>3.14</v>
      </c>
      <c r="E439" s="80">
        <v>-9.4795099999999992E-10</v>
      </c>
    </row>
    <row r="440" spans="1:5">
      <c r="A440" s="78">
        <v>43.7</v>
      </c>
      <c r="B440" s="67">
        <v>3.14</v>
      </c>
      <c r="C440" s="81">
        <v>1.46846E-12</v>
      </c>
      <c r="D440" s="67">
        <v>3.14</v>
      </c>
      <c r="E440" s="81">
        <v>-9.1802200000000002E-10</v>
      </c>
    </row>
    <row r="441" spans="1:5">
      <c r="A441" s="76">
        <v>43.8</v>
      </c>
      <c r="B441" s="66">
        <v>3.14</v>
      </c>
      <c r="C441" s="80">
        <v>1.36793E-12</v>
      </c>
      <c r="D441" s="66">
        <v>3.14</v>
      </c>
      <c r="E441" s="80">
        <v>-8.8627899999999995E-10</v>
      </c>
    </row>
    <row r="442" spans="1:5">
      <c r="A442" s="78">
        <v>43.9</v>
      </c>
      <c r="B442" s="67">
        <v>3.14</v>
      </c>
      <c r="C442" s="81">
        <v>1.2714400000000001E-12</v>
      </c>
      <c r="D442" s="67">
        <v>3.14</v>
      </c>
      <c r="E442" s="81">
        <v>-8.5305700000000002E-10</v>
      </c>
    </row>
    <row r="443" spans="1:5">
      <c r="A443" s="76">
        <v>44</v>
      </c>
      <c r="B443" s="66">
        <v>3.14</v>
      </c>
      <c r="C443" s="80">
        <v>1.17906E-12</v>
      </c>
      <c r="D443" s="66">
        <v>3.14</v>
      </c>
      <c r="E443" s="80">
        <v>-8.18667E-10</v>
      </c>
    </row>
    <row r="444" spans="1:5">
      <c r="A444" s="78">
        <v>44.1</v>
      </c>
      <c r="B444" s="67">
        <v>3.14</v>
      </c>
      <c r="C444" s="81">
        <v>1.0908499999999999E-12</v>
      </c>
      <c r="D444" s="67">
        <v>3.14</v>
      </c>
      <c r="E444" s="81">
        <v>-7.8339499999999996E-10</v>
      </c>
    </row>
    <row r="445" spans="1:5">
      <c r="A445" s="76">
        <v>44.2</v>
      </c>
      <c r="B445" s="66">
        <v>3.14</v>
      </c>
      <c r="C445" s="80">
        <v>1.00686E-12</v>
      </c>
      <c r="D445" s="66">
        <v>3.14</v>
      </c>
      <c r="E445" s="80">
        <v>-7.4750399999999999E-10</v>
      </c>
    </row>
    <row r="446" spans="1:5">
      <c r="A446" s="78">
        <v>44.3</v>
      </c>
      <c r="B446" s="67">
        <v>3.14</v>
      </c>
      <c r="C446" s="81">
        <v>9.2707199999999995E-13</v>
      </c>
      <c r="D446" s="67">
        <v>3.14</v>
      </c>
      <c r="E446" s="81">
        <v>-7.1123599999999998E-10</v>
      </c>
    </row>
    <row r="447" spans="1:5">
      <c r="A447" s="76">
        <v>44.4</v>
      </c>
      <c r="B447" s="66">
        <v>3.14</v>
      </c>
      <c r="C447" s="80">
        <v>8.51442E-13</v>
      </c>
      <c r="D447" s="66">
        <v>3.14</v>
      </c>
      <c r="E447" s="80">
        <v>-6.7481099999999998E-10</v>
      </c>
    </row>
    <row r="448" spans="1:5">
      <c r="A448" s="78">
        <v>44.5</v>
      </c>
      <c r="B448" s="67">
        <v>3.14</v>
      </c>
      <c r="C448" s="81">
        <v>7.7992100000000004E-13</v>
      </c>
      <c r="D448" s="67">
        <v>3.14</v>
      </c>
      <c r="E448" s="81">
        <v>-6.3842900000000003E-10</v>
      </c>
    </row>
    <row r="449" spans="1:5">
      <c r="A449" s="76">
        <v>44.6</v>
      </c>
      <c r="B449" s="66">
        <v>3.14</v>
      </c>
      <c r="C449" s="80">
        <v>7.12438E-13</v>
      </c>
      <c r="D449" s="66">
        <v>3.14</v>
      </c>
      <c r="E449" s="80">
        <v>-6.0227299999999995E-10</v>
      </c>
    </row>
    <row r="450" spans="1:5">
      <c r="A450" s="78">
        <v>44.7</v>
      </c>
      <c r="B450" s="67">
        <v>3.14</v>
      </c>
      <c r="C450" s="81">
        <v>6.4891499999999997E-13</v>
      </c>
      <c r="D450" s="67">
        <v>3.14</v>
      </c>
      <c r="E450" s="81">
        <v>-5.6650299999999998E-10</v>
      </c>
    </row>
    <row r="451" spans="1:5">
      <c r="A451" s="76">
        <v>44.8</v>
      </c>
      <c r="B451" s="66">
        <v>3.14</v>
      </c>
      <c r="C451" s="80">
        <v>5.8925800000000001E-13</v>
      </c>
      <c r="D451" s="66">
        <v>3.14</v>
      </c>
      <c r="E451" s="80">
        <v>-5.3126500000000003E-10</v>
      </c>
    </row>
    <row r="452" spans="1:5">
      <c r="A452" s="78">
        <v>44.9</v>
      </c>
      <c r="B452" s="67">
        <v>3.14</v>
      </c>
      <c r="C452" s="81">
        <v>5.3336500000000002E-13</v>
      </c>
      <c r="D452" s="67">
        <v>3.14</v>
      </c>
      <c r="E452" s="81">
        <v>-4.9668700000000004E-10</v>
      </c>
    </row>
    <row r="453" spans="1:5">
      <c r="A453" s="76">
        <v>45</v>
      </c>
      <c r="B453" s="66">
        <v>3.14</v>
      </c>
      <c r="C453" s="80">
        <v>4.8110299999999995E-13</v>
      </c>
      <c r="D453" s="66">
        <v>3.14</v>
      </c>
      <c r="E453" s="80">
        <v>-4.6288299999999998E-10</v>
      </c>
    </row>
    <row r="454" spans="1:5">
      <c r="A454" s="78">
        <v>45.1</v>
      </c>
      <c r="B454" s="67">
        <v>3.14</v>
      </c>
      <c r="C454" s="81">
        <v>4.3234599999999998E-13</v>
      </c>
      <c r="D454" s="67">
        <v>3.14</v>
      </c>
      <c r="E454" s="81">
        <v>-4.2995E-10</v>
      </c>
    </row>
    <row r="455" spans="1:5">
      <c r="A455" s="76">
        <v>45.2</v>
      </c>
      <c r="B455" s="66">
        <v>3.14</v>
      </c>
      <c r="C455" s="80">
        <v>3.8694200000000001E-13</v>
      </c>
      <c r="D455" s="66">
        <v>3.14</v>
      </c>
      <c r="E455" s="80">
        <v>-3.9797199999999999E-10</v>
      </c>
    </row>
    <row r="456" spans="1:5">
      <c r="A456" s="78">
        <v>45.3</v>
      </c>
      <c r="B456" s="67">
        <v>3.14</v>
      </c>
      <c r="C456" s="81">
        <v>3.4477300000000002E-13</v>
      </c>
      <c r="D456" s="67">
        <v>3.14</v>
      </c>
      <c r="E456" s="81">
        <v>-3.6702200000000001E-10</v>
      </c>
    </row>
    <row r="457" spans="1:5">
      <c r="A457" s="76">
        <v>45.4</v>
      </c>
      <c r="B457" s="66">
        <v>3.14</v>
      </c>
      <c r="C457" s="80">
        <v>3.0569600000000001E-13</v>
      </c>
      <c r="D457" s="66">
        <v>3.14</v>
      </c>
      <c r="E457" s="80">
        <v>-3.3715799999999998E-10</v>
      </c>
    </row>
    <row r="458" spans="1:5">
      <c r="A458" s="78">
        <v>45.5</v>
      </c>
      <c r="B458" s="67">
        <v>3.14</v>
      </c>
      <c r="C458" s="81">
        <v>2.6958E-13</v>
      </c>
      <c r="D458" s="67">
        <v>3.14</v>
      </c>
      <c r="E458" s="81">
        <v>-3.0842999999999999E-10</v>
      </c>
    </row>
    <row r="459" spans="1:5">
      <c r="A459" s="76">
        <v>45.6</v>
      </c>
      <c r="B459" s="66">
        <v>3.14</v>
      </c>
      <c r="C459" s="80">
        <v>2.3625900000000002E-13</v>
      </c>
      <c r="D459" s="66">
        <v>3.14</v>
      </c>
      <c r="E459" s="80">
        <v>-2.8087300000000001E-10</v>
      </c>
    </row>
    <row r="460" spans="1:5">
      <c r="A460" s="78">
        <v>45.7</v>
      </c>
      <c r="B460" s="67">
        <v>3.14</v>
      </c>
      <c r="C460" s="81">
        <v>2.0558300000000001E-13</v>
      </c>
      <c r="D460" s="67">
        <v>3.14</v>
      </c>
      <c r="E460" s="81">
        <v>-2.54518E-10</v>
      </c>
    </row>
    <row r="461" spans="1:5">
      <c r="A461" s="76">
        <v>45.8</v>
      </c>
      <c r="B461" s="66">
        <v>3.14</v>
      </c>
      <c r="C461" s="80">
        <v>1.7743499999999999E-13</v>
      </c>
      <c r="D461" s="66">
        <v>3.14</v>
      </c>
      <c r="E461" s="80">
        <v>-2.2938299999999999E-10</v>
      </c>
    </row>
    <row r="462" spans="1:5">
      <c r="A462" s="78">
        <v>45.9</v>
      </c>
      <c r="B462" s="67">
        <v>3.14</v>
      </c>
      <c r="C462" s="81">
        <v>1.51669E-13</v>
      </c>
      <c r="D462" s="67">
        <v>3.14</v>
      </c>
      <c r="E462" s="81">
        <v>-2.0548E-10</v>
      </c>
    </row>
    <row r="463" spans="1:5">
      <c r="A463" s="76">
        <v>46</v>
      </c>
      <c r="B463" s="66">
        <v>3.14</v>
      </c>
      <c r="C463" s="80">
        <v>1.2814199999999999E-13</v>
      </c>
      <c r="D463" s="66">
        <v>3.14</v>
      </c>
      <c r="E463" s="80">
        <v>-1.82812E-10</v>
      </c>
    </row>
    <row r="464" spans="1:5">
      <c r="A464" s="78">
        <v>46.1</v>
      </c>
      <c r="B464" s="67">
        <v>3.14</v>
      </c>
      <c r="C464" s="81">
        <v>1.06754E-13</v>
      </c>
      <c r="D464" s="67">
        <v>3.14</v>
      </c>
      <c r="E464" s="81">
        <v>-1.61378E-10</v>
      </c>
    </row>
    <row r="465" spans="1:5">
      <c r="A465" s="76">
        <v>46.2</v>
      </c>
      <c r="B465" s="66">
        <v>3.14</v>
      </c>
      <c r="C465" s="80">
        <v>8.7350700000000002E-14</v>
      </c>
      <c r="D465" s="66">
        <v>3.14</v>
      </c>
      <c r="E465" s="80">
        <v>-1.41168E-10</v>
      </c>
    </row>
    <row r="466" spans="1:5">
      <c r="A466" s="78">
        <v>46.3</v>
      </c>
      <c r="B466" s="67">
        <v>3.14</v>
      </c>
      <c r="C466" s="81">
        <v>6.9795199999999996E-14</v>
      </c>
      <c r="D466" s="67">
        <v>3.14</v>
      </c>
      <c r="E466" s="81">
        <v>-1.2216800000000001E-10</v>
      </c>
    </row>
    <row r="467" spans="1:5">
      <c r="A467" s="76">
        <v>46.4</v>
      </c>
      <c r="B467" s="66">
        <v>3.14</v>
      </c>
      <c r="C467" s="80">
        <v>5.3968799999999998E-14</v>
      </c>
      <c r="D467" s="66">
        <v>3.14</v>
      </c>
      <c r="E467" s="80">
        <v>-1.0436E-10</v>
      </c>
    </row>
    <row r="468" spans="1:5">
      <c r="A468" s="78">
        <v>46.5</v>
      </c>
      <c r="B468" s="67">
        <v>3.14</v>
      </c>
      <c r="C468" s="81">
        <v>3.9762300000000002E-14</v>
      </c>
      <c r="D468" s="67">
        <v>3.14</v>
      </c>
      <c r="E468" s="81">
        <v>-8.7720899999999998E-11</v>
      </c>
    </row>
    <row r="469" spans="1:5">
      <c r="A469" s="76">
        <v>46.6</v>
      </c>
      <c r="B469" s="66">
        <v>3.14</v>
      </c>
      <c r="C469" s="80">
        <v>2.7048500000000001E-14</v>
      </c>
      <c r="D469" s="66">
        <v>3.14</v>
      </c>
      <c r="E469" s="80">
        <v>-7.2222900000000004E-11</v>
      </c>
    </row>
    <row r="470" spans="1:5">
      <c r="A470" s="78">
        <v>46.7</v>
      </c>
      <c r="B470" s="67">
        <v>3.14</v>
      </c>
      <c r="C470" s="81">
        <v>1.5751999999999999E-14</v>
      </c>
      <c r="D470" s="67">
        <v>3.14</v>
      </c>
      <c r="E470" s="81">
        <v>-5.78365E-11</v>
      </c>
    </row>
    <row r="471" spans="1:5">
      <c r="A471" s="76">
        <v>46.8</v>
      </c>
      <c r="B471" s="66">
        <v>3.14</v>
      </c>
      <c r="C471" s="80">
        <v>5.7436900000000001E-15</v>
      </c>
      <c r="D471" s="66">
        <v>3.14</v>
      </c>
      <c r="E471" s="80">
        <v>-4.45286E-11</v>
      </c>
    </row>
    <row r="472" spans="1:5">
      <c r="A472" s="78">
        <v>46.9</v>
      </c>
      <c r="B472" s="67">
        <v>3.14</v>
      </c>
      <c r="C472" s="81">
        <v>-3.05862E-15</v>
      </c>
      <c r="D472" s="67">
        <v>3.14</v>
      </c>
      <c r="E472" s="81">
        <v>-3.2264000000000002E-11</v>
      </c>
    </row>
    <row r="473" spans="1:5">
      <c r="A473" s="76">
        <v>47</v>
      </c>
      <c r="B473" s="66">
        <v>3.14</v>
      </c>
      <c r="C473" s="80">
        <v>-1.07492E-14</v>
      </c>
      <c r="D473" s="66">
        <v>3.14</v>
      </c>
      <c r="E473" s="80">
        <v>-2.10057E-11</v>
      </c>
    </row>
    <row r="474" spans="1:5">
      <c r="A474" s="78">
        <v>47.1</v>
      </c>
      <c r="B474" s="67">
        <v>3.14</v>
      </c>
      <c r="C474" s="81">
        <v>-1.7415400000000001E-14</v>
      </c>
      <c r="D474" s="67">
        <v>3.14</v>
      </c>
      <c r="E474" s="81">
        <v>-1.07147E-11</v>
      </c>
    </row>
    <row r="475" spans="1:5">
      <c r="A475" s="76">
        <v>47.2</v>
      </c>
      <c r="B475" s="66">
        <v>3.14</v>
      </c>
      <c r="C475" s="80">
        <v>-2.3160599999999999E-14</v>
      </c>
      <c r="D475" s="66">
        <v>3.14</v>
      </c>
      <c r="E475" s="80">
        <v>-1.35122E-12</v>
      </c>
    </row>
    <row r="476" spans="1:5">
      <c r="A476" s="78">
        <v>47.3</v>
      </c>
      <c r="B476" s="67">
        <v>3.14</v>
      </c>
      <c r="C476" s="81">
        <v>-2.8039599999999999E-14</v>
      </c>
      <c r="D476" s="67">
        <v>3.14</v>
      </c>
      <c r="E476" s="81">
        <v>7.1256800000000004E-12</v>
      </c>
    </row>
    <row r="477" spans="1:5">
      <c r="A477" s="76">
        <v>47.4</v>
      </c>
      <c r="B477" s="66">
        <v>3.14</v>
      </c>
      <c r="C477" s="80">
        <v>-3.2150200000000002E-14</v>
      </c>
      <c r="D477" s="66">
        <v>3.14</v>
      </c>
      <c r="E477" s="80">
        <v>1.47575E-11</v>
      </c>
    </row>
    <row r="478" spans="1:5">
      <c r="A478" s="78">
        <v>47.5</v>
      </c>
      <c r="B478" s="67">
        <v>3.14</v>
      </c>
      <c r="C478" s="81">
        <v>-3.5541600000000002E-14</v>
      </c>
      <c r="D478" s="67">
        <v>3.14</v>
      </c>
      <c r="E478" s="81">
        <v>2.1586100000000001E-11</v>
      </c>
    </row>
    <row r="479" spans="1:5">
      <c r="A479" s="76">
        <v>47.6</v>
      </c>
      <c r="B479" s="66">
        <v>3.14</v>
      </c>
      <c r="C479" s="80">
        <v>-3.8298300000000002E-14</v>
      </c>
      <c r="D479" s="66">
        <v>3.14</v>
      </c>
      <c r="E479" s="80">
        <v>2.7653300000000001E-11</v>
      </c>
    </row>
    <row r="480" spans="1:5">
      <c r="A480" s="78">
        <v>47.7</v>
      </c>
      <c r="B480" s="67">
        <v>3.14</v>
      </c>
      <c r="C480" s="81">
        <v>-4.0493700000000002E-14</v>
      </c>
      <c r="D480" s="67">
        <v>3.14</v>
      </c>
      <c r="E480" s="81">
        <v>3.3000899999999998E-11</v>
      </c>
    </row>
    <row r="481" spans="1:5">
      <c r="A481" s="76">
        <v>47.8</v>
      </c>
      <c r="B481" s="66">
        <v>3.14</v>
      </c>
      <c r="C481" s="80">
        <v>-4.2156399999999998E-14</v>
      </c>
      <c r="D481" s="66">
        <v>3.14</v>
      </c>
      <c r="E481" s="80">
        <v>3.7670400000000002E-11</v>
      </c>
    </row>
    <row r="482" spans="1:5">
      <c r="A482" s="78">
        <v>47.9</v>
      </c>
      <c r="B482" s="67">
        <v>3.14</v>
      </c>
      <c r="C482" s="81">
        <v>-4.3365200000000002E-14</v>
      </c>
      <c r="D482" s="67">
        <v>3.14</v>
      </c>
      <c r="E482" s="81">
        <v>4.1702800000000003E-11</v>
      </c>
    </row>
    <row r="483" spans="1:5">
      <c r="A483" s="76">
        <v>48</v>
      </c>
      <c r="B483" s="66">
        <v>3.14</v>
      </c>
      <c r="C483" s="80">
        <v>-4.4153899999999998E-14</v>
      </c>
      <c r="D483" s="66">
        <v>3.14</v>
      </c>
      <c r="E483" s="80">
        <v>4.51383E-11</v>
      </c>
    </row>
    <row r="484" spans="1:5">
      <c r="A484" s="78">
        <v>48.1</v>
      </c>
      <c r="B484" s="67">
        <v>3.14</v>
      </c>
      <c r="C484" s="81">
        <v>-4.45741E-14</v>
      </c>
      <c r="D484" s="67">
        <v>3.14</v>
      </c>
      <c r="E484" s="81">
        <v>4.8016400000000002E-11</v>
      </c>
    </row>
    <row r="485" spans="1:5">
      <c r="A485" s="76">
        <v>48.2</v>
      </c>
      <c r="B485" s="66">
        <v>3.14</v>
      </c>
      <c r="C485" s="80">
        <v>-4.4671199999999999E-14</v>
      </c>
      <c r="D485" s="66">
        <v>3.14</v>
      </c>
      <c r="E485" s="80">
        <v>5.0375699999999997E-11</v>
      </c>
    </row>
    <row r="486" spans="1:5">
      <c r="A486" s="78">
        <v>48.3</v>
      </c>
      <c r="B486" s="67">
        <v>3.14</v>
      </c>
      <c r="C486" s="81">
        <v>-4.4484999999999999E-14</v>
      </c>
      <c r="D486" s="67">
        <v>3.14</v>
      </c>
      <c r="E486" s="81">
        <v>5.2253699999999997E-11</v>
      </c>
    </row>
    <row r="487" spans="1:5">
      <c r="A487" s="76">
        <v>48.4</v>
      </c>
      <c r="B487" s="66">
        <v>3.14</v>
      </c>
      <c r="C487" s="80">
        <v>-4.4050499999999997E-14</v>
      </c>
      <c r="D487" s="66">
        <v>3.14</v>
      </c>
      <c r="E487" s="80">
        <v>5.3686799999999999E-11</v>
      </c>
    </row>
    <row r="488" spans="1:5">
      <c r="A488" s="78">
        <v>48.5</v>
      </c>
      <c r="B488" s="67">
        <v>3.14</v>
      </c>
      <c r="C488" s="81">
        <v>-4.3397999999999997E-14</v>
      </c>
      <c r="D488" s="67">
        <v>3.14</v>
      </c>
      <c r="E488" s="81">
        <v>5.4709999999999998E-11</v>
      </c>
    </row>
    <row r="489" spans="1:5">
      <c r="A489" s="76">
        <v>48.6</v>
      </c>
      <c r="B489" s="66">
        <v>3.14</v>
      </c>
      <c r="C489" s="80">
        <v>-4.2554599999999998E-14</v>
      </c>
      <c r="D489" s="66">
        <v>3.14</v>
      </c>
      <c r="E489" s="80">
        <v>5.5357300000000002E-11</v>
      </c>
    </row>
    <row r="490" spans="1:5">
      <c r="A490" s="78">
        <v>48.7</v>
      </c>
      <c r="B490" s="67">
        <v>3.14</v>
      </c>
      <c r="C490" s="81">
        <v>-4.1548600000000003E-14</v>
      </c>
      <c r="D490" s="67">
        <v>3.14</v>
      </c>
      <c r="E490" s="81">
        <v>5.5661399999999999E-11</v>
      </c>
    </row>
    <row r="491" spans="1:5">
      <c r="A491" s="76">
        <v>48.8</v>
      </c>
      <c r="B491" s="66">
        <v>3.14</v>
      </c>
      <c r="C491" s="80">
        <v>-4.0422200000000001E-14</v>
      </c>
      <c r="D491" s="66">
        <v>3.14</v>
      </c>
      <c r="E491" s="80">
        <v>5.5653300000000002E-11</v>
      </c>
    </row>
    <row r="492" spans="1:5">
      <c r="A492" s="78">
        <v>48.9</v>
      </c>
      <c r="B492" s="67">
        <v>3.14</v>
      </c>
      <c r="C492" s="81">
        <v>-3.91994E-14</v>
      </c>
      <c r="D492" s="67">
        <v>3.14</v>
      </c>
      <c r="E492" s="81">
        <v>5.5363000000000003E-11</v>
      </c>
    </row>
    <row r="493" spans="1:5">
      <c r="A493" s="76">
        <v>49</v>
      </c>
      <c r="B493" s="66">
        <v>3.14</v>
      </c>
      <c r="C493" s="80">
        <v>-3.7892000000000003E-14</v>
      </c>
      <c r="D493" s="66">
        <v>3.14</v>
      </c>
      <c r="E493" s="80">
        <v>5.4818800000000003E-11</v>
      </c>
    </row>
    <row r="494" spans="1:5">
      <c r="A494" s="78">
        <v>49.1</v>
      </c>
      <c r="B494" s="67">
        <v>3.14</v>
      </c>
      <c r="C494" s="81">
        <v>-3.6506299999999998E-14</v>
      </c>
      <c r="D494" s="67">
        <v>3.14</v>
      </c>
      <c r="E494" s="81">
        <v>5.40477E-11</v>
      </c>
    </row>
    <row r="495" spans="1:5">
      <c r="A495" s="76">
        <v>49.2</v>
      </c>
      <c r="B495" s="66">
        <v>3.14</v>
      </c>
      <c r="C495" s="80">
        <v>-3.5074100000000002E-14</v>
      </c>
      <c r="D495" s="66">
        <v>3.14</v>
      </c>
      <c r="E495" s="80">
        <v>5.30753E-11</v>
      </c>
    </row>
    <row r="496" spans="1:5">
      <c r="A496" s="78">
        <v>49.3</v>
      </c>
      <c r="B496" s="67">
        <v>3.14</v>
      </c>
      <c r="C496" s="81">
        <v>-3.3601300000000003E-14</v>
      </c>
      <c r="D496" s="67">
        <v>3.14</v>
      </c>
      <c r="E496" s="81">
        <v>5.1925700000000001E-11</v>
      </c>
    </row>
    <row r="497" spans="1:5">
      <c r="A497" s="76">
        <v>49.4</v>
      </c>
      <c r="B497" s="66">
        <v>3.14</v>
      </c>
      <c r="C497" s="80">
        <v>-3.20976E-14</v>
      </c>
      <c r="D497" s="66">
        <v>3.14</v>
      </c>
      <c r="E497" s="80">
        <v>5.0621800000000001E-11</v>
      </c>
    </row>
    <row r="498" spans="1:5">
      <c r="A498" s="78">
        <v>49.5</v>
      </c>
      <c r="B498" s="67">
        <v>3.14</v>
      </c>
      <c r="C498" s="81">
        <v>-3.0589099999999997E-14</v>
      </c>
      <c r="D498" s="67">
        <v>3.14</v>
      </c>
      <c r="E498" s="81">
        <v>4.9184799999999997E-11</v>
      </c>
    </row>
    <row r="499" spans="1:5">
      <c r="A499" s="76">
        <v>49.6</v>
      </c>
      <c r="B499" s="66">
        <v>3.14</v>
      </c>
      <c r="C499" s="80">
        <v>-2.9094599999999998E-14</v>
      </c>
      <c r="D499" s="66">
        <v>3.14</v>
      </c>
      <c r="E499" s="80">
        <v>4.76347E-11</v>
      </c>
    </row>
    <row r="500" spans="1:5">
      <c r="A500" s="78">
        <v>49.7</v>
      </c>
      <c r="B500" s="67">
        <v>3.14</v>
      </c>
      <c r="C500" s="81">
        <v>-2.7599000000000001E-14</v>
      </c>
      <c r="D500" s="67">
        <v>3.14</v>
      </c>
      <c r="E500" s="81">
        <v>4.59903E-11</v>
      </c>
    </row>
    <row r="501" spans="1:5">
      <c r="A501" s="76">
        <v>49.8</v>
      </c>
      <c r="B501" s="66">
        <v>3.14</v>
      </c>
      <c r="C501" s="80">
        <v>-2.61248E-14</v>
      </c>
      <c r="D501" s="66">
        <v>3.14</v>
      </c>
      <c r="E501" s="80">
        <v>4.4268899999999998E-11</v>
      </c>
    </row>
    <row r="502" spans="1:5">
      <c r="A502" s="78">
        <v>49.9</v>
      </c>
      <c r="B502" s="67">
        <v>3.14</v>
      </c>
      <c r="C502" s="81">
        <v>-2.46693E-14</v>
      </c>
      <c r="D502" s="67">
        <v>3.14</v>
      </c>
      <c r="E502" s="81">
        <v>4.2486600000000002E-11</v>
      </c>
    </row>
    <row r="503" spans="1:5">
      <c r="A503" s="76">
        <v>50</v>
      </c>
      <c r="B503" s="66">
        <v>3.14</v>
      </c>
      <c r="C503" s="80">
        <v>-2.3235099999999999E-14</v>
      </c>
      <c r="D503" s="66">
        <v>3.14</v>
      </c>
      <c r="E503" s="80">
        <v>4.0658299999999999E-11</v>
      </c>
    </row>
    <row r="504" spans="1:5">
      <c r="A504" s="78">
        <v>50.1</v>
      </c>
      <c r="B504" s="67">
        <v>3.14</v>
      </c>
      <c r="C504" s="81">
        <v>-2.18419E-14</v>
      </c>
      <c r="D504" s="67">
        <v>3.14</v>
      </c>
      <c r="E504" s="81">
        <v>3.8797600000000002E-11</v>
      </c>
    </row>
    <row r="505" spans="1:5">
      <c r="A505" s="76">
        <v>50.2</v>
      </c>
      <c r="B505" s="66">
        <v>3.14</v>
      </c>
      <c r="C505" s="80">
        <v>-2.0502700000000001E-14</v>
      </c>
      <c r="D505" s="66">
        <v>3.14</v>
      </c>
      <c r="E505" s="80">
        <v>3.69171E-11</v>
      </c>
    </row>
    <row r="506" spans="1:5">
      <c r="A506" s="78">
        <v>50.3</v>
      </c>
      <c r="B506" s="67">
        <v>3.14</v>
      </c>
      <c r="C506" s="81">
        <v>-1.9197499999999998E-14</v>
      </c>
      <c r="D506" s="67">
        <v>3.14</v>
      </c>
      <c r="E506" s="81">
        <v>3.5028400000000001E-11</v>
      </c>
    </row>
    <row r="507" spans="1:5">
      <c r="A507" s="76">
        <v>50.4</v>
      </c>
      <c r="B507" s="66">
        <v>3.14</v>
      </c>
      <c r="C507" s="80">
        <v>-1.7944500000000001E-14</v>
      </c>
      <c r="D507" s="66">
        <v>3.14</v>
      </c>
      <c r="E507" s="80">
        <v>3.31417E-11</v>
      </c>
    </row>
    <row r="508" spans="1:5">
      <c r="A508" s="78">
        <v>50.5</v>
      </c>
      <c r="B508" s="67">
        <v>3.14</v>
      </c>
      <c r="C508" s="81">
        <v>-1.6737400000000001E-14</v>
      </c>
      <c r="D508" s="67">
        <v>3.14</v>
      </c>
      <c r="E508" s="81">
        <v>3.1266500000000001E-11</v>
      </c>
    </row>
    <row r="509" spans="1:5">
      <c r="A509" s="76">
        <v>50.6</v>
      </c>
      <c r="B509" s="66">
        <v>3.14</v>
      </c>
      <c r="C509" s="80">
        <v>-1.55703E-14</v>
      </c>
      <c r="D509" s="66">
        <v>3.14</v>
      </c>
      <c r="E509" s="80">
        <v>2.94112E-11</v>
      </c>
    </row>
    <row r="510" spans="1:5">
      <c r="A510" s="78">
        <v>50.7</v>
      </c>
      <c r="B510" s="67">
        <v>3.14</v>
      </c>
      <c r="C510" s="81">
        <v>-1.4443299999999999E-14</v>
      </c>
      <c r="D510" s="67">
        <v>3.14</v>
      </c>
      <c r="E510" s="81">
        <v>2.7583299999999999E-11</v>
      </c>
    </row>
    <row r="511" spans="1:5">
      <c r="A511" s="76">
        <v>50.8</v>
      </c>
      <c r="B511" s="66">
        <v>3.14</v>
      </c>
      <c r="C511" s="80">
        <v>-1.33737E-14</v>
      </c>
      <c r="D511" s="66">
        <v>3.14</v>
      </c>
      <c r="E511" s="80">
        <v>2.5789600000000001E-11</v>
      </c>
    </row>
    <row r="512" spans="1:5">
      <c r="A512" s="78">
        <v>50.9</v>
      </c>
      <c r="B512" s="67">
        <v>3.14</v>
      </c>
      <c r="C512" s="81">
        <v>-1.23634E-14</v>
      </c>
      <c r="D512" s="67">
        <v>3.14</v>
      </c>
      <c r="E512" s="81">
        <v>2.40359E-11</v>
      </c>
    </row>
    <row r="513" spans="1:5">
      <c r="A513" s="76">
        <v>51</v>
      </c>
      <c r="B513" s="66">
        <v>3.14</v>
      </c>
      <c r="C513" s="80">
        <v>-1.14052E-14</v>
      </c>
      <c r="D513" s="66">
        <v>3.14</v>
      </c>
      <c r="E513" s="80">
        <v>2.2327200000000001E-11</v>
      </c>
    </row>
    <row r="514" spans="1:5">
      <c r="A514" s="78">
        <v>51.1</v>
      </c>
      <c r="B514" s="67">
        <v>3.14</v>
      </c>
      <c r="C514" s="81">
        <v>-1.0488400000000001E-14</v>
      </c>
      <c r="D514" s="67">
        <v>3.14</v>
      </c>
      <c r="E514" s="81">
        <v>2.06681E-11</v>
      </c>
    </row>
    <row r="515" spans="1:5">
      <c r="A515" s="76">
        <v>51.2</v>
      </c>
      <c r="B515" s="66">
        <v>3.14</v>
      </c>
      <c r="C515" s="80">
        <v>-9.6302400000000001E-15</v>
      </c>
      <c r="D515" s="66">
        <v>3.14</v>
      </c>
      <c r="E515" s="80">
        <v>1.9062100000000001E-11</v>
      </c>
    </row>
    <row r="516" spans="1:5">
      <c r="A516" s="78">
        <v>51.3</v>
      </c>
      <c r="B516" s="67">
        <v>3.14</v>
      </c>
      <c r="C516" s="81">
        <v>-8.8235099999999997E-15</v>
      </c>
      <c r="D516" s="67">
        <v>3.14</v>
      </c>
      <c r="E516" s="81">
        <v>1.7512500000000002E-11</v>
      </c>
    </row>
    <row r="517" spans="1:5">
      <c r="A517" s="76">
        <v>51.4</v>
      </c>
      <c r="B517" s="66">
        <v>3.14</v>
      </c>
      <c r="C517" s="80">
        <v>-8.0618700000000002E-15</v>
      </c>
      <c r="D517" s="66">
        <v>3.14</v>
      </c>
      <c r="E517" s="80">
        <v>1.60216E-11</v>
      </c>
    </row>
    <row r="518" spans="1:5">
      <c r="A518" s="78">
        <v>51.5</v>
      </c>
      <c r="B518" s="67">
        <v>3.14</v>
      </c>
      <c r="C518" s="81">
        <v>-7.3397600000000008E-15</v>
      </c>
      <c r="D518" s="67">
        <v>3.14</v>
      </c>
      <c r="E518" s="81">
        <v>1.4591500000000001E-11</v>
      </c>
    </row>
    <row r="519" spans="1:5">
      <c r="A519" s="76">
        <v>51.6</v>
      </c>
      <c r="B519" s="66">
        <v>3.14</v>
      </c>
      <c r="C519" s="80">
        <v>-6.65232E-15</v>
      </c>
      <c r="D519" s="66">
        <v>3.14</v>
      </c>
      <c r="E519" s="80">
        <v>1.32236E-11</v>
      </c>
    </row>
    <row r="520" spans="1:5">
      <c r="A520" s="78">
        <v>51.7</v>
      </c>
      <c r="B520" s="67">
        <v>3.14</v>
      </c>
      <c r="C520" s="81">
        <v>-6.00009E-15</v>
      </c>
      <c r="D520" s="67">
        <v>3.14</v>
      </c>
      <c r="E520" s="81">
        <v>1.1919E-11</v>
      </c>
    </row>
    <row r="521" spans="1:5">
      <c r="A521" s="76">
        <v>51.8</v>
      </c>
      <c r="B521" s="66">
        <v>3.14</v>
      </c>
      <c r="C521" s="80">
        <v>-5.4010499999999997E-15</v>
      </c>
      <c r="D521" s="66">
        <v>3.14</v>
      </c>
      <c r="E521" s="80">
        <v>1.06783E-11</v>
      </c>
    </row>
    <row r="522" spans="1:5">
      <c r="A522" s="78">
        <v>51.9</v>
      </c>
      <c r="B522" s="67">
        <v>3.14</v>
      </c>
      <c r="C522" s="81">
        <v>-4.8486600000000002E-15</v>
      </c>
      <c r="D522" s="67">
        <v>3.14</v>
      </c>
      <c r="E522" s="81">
        <v>9.5016399999999995E-12</v>
      </c>
    </row>
    <row r="523" spans="1:5">
      <c r="A523" s="76">
        <v>52</v>
      </c>
      <c r="B523" s="66">
        <v>3.14</v>
      </c>
      <c r="C523" s="80">
        <v>-4.3371599999999997E-15</v>
      </c>
      <c r="D523" s="66">
        <v>3.14</v>
      </c>
      <c r="E523" s="80">
        <v>8.3889199999999998E-12</v>
      </c>
    </row>
    <row r="524" spans="1:5">
      <c r="A524" s="78">
        <v>52.1</v>
      </c>
      <c r="B524" s="67">
        <v>3.14</v>
      </c>
      <c r="C524" s="81">
        <v>-3.8796000000000002E-15</v>
      </c>
      <c r="D524" s="67">
        <v>3.14</v>
      </c>
      <c r="E524" s="81">
        <v>7.3397099999999996E-12</v>
      </c>
    </row>
    <row r="525" spans="1:5">
      <c r="A525" s="76">
        <v>52.2</v>
      </c>
      <c r="B525" s="66">
        <v>3.14</v>
      </c>
      <c r="C525" s="80">
        <v>-3.4512499999999998E-15</v>
      </c>
      <c r="D525" s="66">
        <v>3.14</v>
      </c>
      <c r="E525" s="80">
        <v>6.3532900000000003E-12</v>
      </c>
    </row>
    <row r="526" spans="1:5">
      <c r="A526" s="78">
        <v>52.3</v>
      </c>
      <c r="B526" s="67">
        <v>3.14</v>
      </c>
      <c r="C526" s="81">
        <v>-3.0485200000000001E-15</v>
      </c>
      <c r="D526" s="67">
        <v>3.14</v>
      </c>
      <c r="E526" s="81">
        <v>5.4286599999999996E-12</v>
      </c>
    </row>
    <row r="527" spans="1:5">
      <c r="A527" s="76">
        <v>52.4</v>
      </c>
      <c r="B527" s="66">
        <v>3.14</v>
      </c>
      <c r="C527" s="80">
        <v>-2.6682600000000001E-15</v>
      </c>
      <c r="D527" s="66">
        <v>3.14</v>
      </c>
      <c r="E527" s="80">
        <v>4.5646600000000001E-12</v>
      </c>
    </row>
    <row r="528" spans="1:5">
      <c r="A528" s="78">
        <v>52.5</v>
      </c>
      <c r="B528" s="67">
        <v>3.14</v>
      </c>
      <c r="C528" s="81">
        <v>-2.3076899999999998E-15</v>
      </c>
      <c r="D528" s="67">
        <v>3.14</v>
      </c>
      <c r="E528" s="81">
        <v>3.7598800000000003E-12</v>
      </c>
    </row>
    <row r="529" spans="1:5">
      <c r="A529" s="76">
        <v>52.6</v>
      </c>
      <c r="B529" s="66">
        <v>3.14</v>
      </c>
      <c r="C529" s="80">
        <v>-1.9692200000000001E-15</v>
      </c>
      <c r="D529" s="66">
        <v>3.14</v>
      </c>
      <c r="E529" s="80">
        <v>3.01278E-12</v>
      </c>
    </row>
    <row r="530" spans="1:5">
      <c r="A530" s="78">
        <v>52.7</v>
      </c>
      <c r="B530" s="67">
        <v>3.14</v>
      </c>
      <c r="C530" s="81">
        <v>-1.67244E-15</v>
      </c>
      <c r="D530" s="67">
        <v>3.14</v>
      </c>
      <c r="E530" s="81">
        <v>2.3216499999999999E-12</v>
      </c>
    </row>
    <row r="531" spans="1:5">
      <c r="A531" s="76">
        <v>52.8</v>
      </c>
      <c r="B531" s="66">
        <v>3.14</v>
      </c>
      <c r="C531" s="80">
        <v>-1.4122E-15</v>
      </c>
      <c r="D531" s="66">
        <v>3.14</v>
      </c>
      <c r="E531" s="80">
        <v>1.6846500000000001E-12</v>
      </c>
    </row>
    <row r="532" spans="1:5">
      <c r="A532" s="78">
        <v>52.9</v>
      </c>
      <c r="B532" s="67">
        <v>3.14</v>
      </c>
      <c r="C532" s="81">
        <v>-1.1840100000000001E-15</v>
      </c>
      <c r="D532" s="67">
        <v>3.14</v>
      </c>
      <c r="E532" s="81">
        <v>1.0998599999999999E-12</v>
      </c>
    </row>
    <row r="533" spans="1:5">
      <c r="A533" s="76">
        <v>53</v>
      </c>
      <c r="B533" s="66">
        <v>3.14</v>
      </c>
      <c r="C533" s="80">
        <v>-9.8393100000000001E-16</v>
      </c>
      <c r="D533" s="66">
        <v>3.14</v>
      </c>
      <c r="E533" s="80">
        <v>5.6527399999999996E-13</v>
      </c>
    </row>
    <row r="534" spans="1:5">
      <c r="A534" s="78">
        <v>53.1</v>
      </c>
      <c r="B534" s="67">
        <v>3.14</v>
      </c>
      <c r="C534" s="81">
        <v>-8.0848800000000001E-16</v>
      </c>
      <c r="D534" s="67">
        <v>3.14</v>
      </c>
      <c r="E534" s="81">
        <v>7.8805400000000002E-14</v>
      </c>
    </row>
    <row r="535" spans="1:5">
      <c r="A535" s="76">
        <v>53.2</v>
      </c>
      <c r="B535" s="66">
        <v>3.14</v>
      </c>
      <c r="C535" s="80">
        <v>-6.5465200000000003E-16</v>
      </c>
      <c r="D535" s="66">
        <v>3.14</v>
      </c>
      <c r="E535" s="80">
        <v>-3.61651E-13</v>
      </c>
    </row>
    <row r="536" spans="1:5">
      <c r="A536" s="78">
        <v>53.3</v>
      </c>
      <c r="B536" s="67">
        <v>3.14</v>
      </c>
      <c r="C536" s="81">
        <v>-5.1976100000000001E-16</v>
      </c>
      <c r="D536" s="67">
        <v>3.14</v>
      </c>
      <c r="E536" s="81">
        <v>-7.5823200000000004E-13</v>
      </c>
    </row>
    <row r="537" spans="1:5">
      <c r="A537" s="76">
        <v>53.4</v>
      </c>
      <c r="B537" s="66">
        <v>3.14</v>
      </c>
      <c r="C537" s="80">
        <v>-4.0148300000000002E-16</v>
      </c>
      <c r="D537" s="66">
        <v>3.14</v>
      </c>
      <c r="E537" s="80">
        <v>-1.1131100000000001E-12</v>
      </c>
    </row>
    <row r="538" spans="1:5">
      <c r="A538" s="78">
        <v>53.5</v>
      </c>
      <c r="B538" s="67">
        <v>3.14</v>
      </c>
      <c r="C538" s="81">
        <v>-2.9777100000000002E-16</v>
      </c>
      <c r="D538" s="67">
        <v>3.14</v>
      </c>
      <c r="E538" s="81">
        <v>-1.42848E-12</v>
      </c>
    </row>
    <row r="539" spans="1:5">
      <c r="A539" s="76">
        <v>53.6</v>
      </c>
      <c r="B539" s="66">
        <v>3.14</v>
      </c>
      <c r="C539" s="80">
        <v>-2.0683099999999999E-16</v>
      </c>
      <c r="D539" s="66">
        <v>3.14</v>
      </c>
      <c r="E539" s="80">
        <v>-1.7064899999999999E-12</v>
      </c>
    </row>
    <row r="540" spans="1:5">
      <c r="A540" s="78">
        <v>53.7</v>
      </c>
      <c r="B540" s="67">
        <v>3.14</v>
      </c>
      <c r="C540" s="81">
        <v>-1.27091E-16</v>
      </c>
      <c r="D540" s="67">
        <v>3.14</v>
      </c>
      <c r="E540" s="81">
        <v>-1.9492799999999999E-12</v>
      </c>
    </row>
    <row r="541" spans="1:5">
      <c r="A541" s="76">
        <v>53.8</v>
      </c>
      <c r="B541" s="66">
        <v>3.14</v>
      </c>
      <c r="C541" s="80">
        <v>-5.7171900000000003E-17</v>
      </c>
      <c r="D541" s="66">
        <v>3.14</v>
      </c>
      <c r="E541" s="80">
        <v>-2.159E-12</v>
      </c>
    </row>
    <row r="542" spans="1:5">
      <c r="A542" s="78">
        <v>53.9</v>
      </c>
      <c r="B542" s="67">
        <v>3.14</v>
      </c>
      <c r="C542" s="81">
        <v>4.1368000000000002E-18</v>
      </c>
      <c r="D542" s="67">
        <v>3.14</v>
      </c>
      <c r="E542" s="81">
        <v>-2.33773E-12</v>
      </c>
    </row>
    <row r="543" spans="1:5">
      <c r="A543" s="76">
        <v>54</v>
      </c>
      <c r="B543" s="66">
        <v>3.14</v>
      </c>
      <c r="C543" s="80">
        <v>5.7895099999999996E-17</v>
      </c>
      <c r="D543" s="66">
        <v>3.14</v>
      </c>
      <c r="E543" s="80">
        <v>-2.4875199999999999E-12</v>
      </c>
    </row>
    <row r="544" spans="1:5">
      <c r="A544" s="78">
        <v>54.1</v>
      </c>
      <c r="B544" s="67">
        <v>3.14</v>
      </c>
      <c r="C544" s="81">
        <v>1.05033E-16</v>
      </c>
      <c r="D544" s="67">
        <v>3.14</v>
      </c>
      <c r="E544" s="81">
        <v>-2.6103500000000001E-12</v>
      </c>
    </row>
    <row r="545" spans="1:5">
      <c r="A545" s="76">
        <v>54.2</v>
      </c>
      <c r="B545" s="66">
        <v>3.14</v>
      </c>
      <c r="C545" s="80">
        <v>1.4636499999999999E-16</v>
      </c>
      <c r="D545" s="66">
        <v>3.14</v>
      </c>
      <c r="E545" s="80">
        <v>-2.7082000000000001E-12</v>
      </c>
    </row>
    <row r="546" spans="1:5">
      <c r="A546" s="78">
        <v>54.3</v>
      </c>
      <c r="B546" s="67">
        <v>3.14</v>
      </c>
      <c r="C546" s="81">
        <v>1.8260799999999999E-16</v>
      </c>
      <c r="D546" s="67">
        <v>3.14</v>
      </c>
      <c r="E546" s="81">
        <v>-2.7829399999999999E-12</v>
      </c>
    </row>
    <row r="547" spans="1:5">
      <c r="A547" s="76">
        <v>54.4</v>
      </c>
      <c r="B547" s="66">
        <v>3.14</v>
      </c>
      <c r="C547" s="80">
        <v>2.14386E-16</v>
      </c>
      <c r="D547" s="66">
        <v>3.14</v>
      </c>
      <c r="E547" s="80">
        <v>-2.8363900000000002E-12</v>
      </c>
    </row>
    <row r="548" spans="1:5">
      <c r="A548" s="78">
        <v>54.5</v>
      </c>
      <c r="B548" s="67">
        <v>3.14</v>
      </c>
      <c r="C548" s="81">
        <v>2.4225199999999998E-16</v>
      </c>
      <c r="D548" s="67">
        <v>3.14</v>
      </c>
      <c r="E548" s="81">
        <v>-2.8703199999999998E-12</v>
      </c>
    </row>
    <row r="549" spans="1:5">
      <c r="A549" s="76">
        <v>54.6</v>
      </c>
      <c r="B549" s="66">
        <v>3.14</v>
      </c>
      <c r="C549" s="80">
        <v>2.6668500000000001E-16</v>
      </c>
      <c r="D549" s="66">
        <v>3.14</v>
      </c>
      <c r="E549" s="80">
        <v>-2.88641E-12</v>
      </c>
    </row>
    <row r="550" spans="1:5">
      <c r="A550" s="78">
        <v>54.7</v>
      </c>
      <c r="B550" s="67">
        <v>3.14</v>
      </c>
      <c r="C550" s="81">
        <v>2.8810899999999999E-16</v>
      </c>
      <c r="D550" s="67">
        <v>3.14</v>
      </c>
      <c r="E550" s="81">
        <v>-2.8862899999999998E-12</v>
      </c>
    </row>
    <row r="551" spans="1:5">
      <c r="A551" s="76">
        <v>54.8</v>
      </c>
      <c r="B551" s="66">
        <v>3.14</v>
      </c>
      <c r="C551" s="80">
        <v>3.0689499999999998E-16</v>
      </c>
      <c r="D551" s="66">
        <v>3.14</v>
      </c>
      <c r="E551" s="80">
        <v>-2.8715100000000002E-12</v>
      </c>
    </row>
    <row r="552" spans="1:5">
      <c r="A552" s="78">
        <v>54.9</v>
      </c>
      <c r="B552" s="67">
        <v>3.14</v>
      </c>
      <c r="C552" s="81">
        <v>3.2336799999999998E-16</v>
      </c>
      <c r="D552" s="67">
        <v>3.14</v>
      </c>
      <c r="E552" s="81">
        <v>-2.8435300000000001E-12</v>
      </c>
    </row>
    <row r="553" spans="1:5">
      <c r="A553" s="76">
        <v>55</v>
      </c>
      <c r="B553" s="66">
        <v>3.14</v>
      </c>
      <c r="C553" s="80">
        <v>3.3781099999999998E-16</v>
      </c>
      <c r="D553" s="66">
        <v>3.14</v>
      </c>
      <c r="E553" s="80">
        <v>-2.80375E-12</v>
      </c>
    </row>
    <row r="554" spans="1:5">
      <c r="A554" s="78">
        <v>55.1</v>
      </c>
      <c r="B554" s="67">
        <v>3.14</v>
      </c>
      <c r="C554" s="81">
        <v>3.5047600000000001E-16</v>
      </c>
      <c r="D554" s="67">
        <v>3.14</v>
      </c>
      <c r="E554" s="81">
        <v>-2.7534999999999999E-12</v>
      </c>
    </row>
    <row r="555" spans="1:5">
      <c r="A555" s="76">
        <v>55.2</v>
      </c>
      <c r="B555" s="66">
        <v>3.14</v>
      </c>
      <c r="C555" s="80">
        <v>3.6158100000000002E-16</v>
      </c>
      <c r="D555" s="66">
        <v>3.14</v>
      </c>
      <c r="E555" s="80">
        <v>-2.6940400000000001E-12</v>
      </c>
    </row>
    <row r="556" spans="1:5">
      <c r="A556" s="78">
        <v>55.3</v>
      </c>
      <c r="B556" s="67">
        <v>3.14</v>
      </c>
      <c r="C556" s="81">
        <v>3.7131900000000002E-16</v>
      </c>
      <c r="D556" s="67">
        <v>3.14</v>
      </c>
      <c r="E556" s="81">
        <v>-2.6265600000000001E-12</v>
      </c>
    </row>
    <row r="557" spans="1:5">
      <c r="A557" s="76">
        <v>55.4</v>
      </c>
      <c r="B557" s="66">
        <v>3.14</v>
      </c>
      <c r="C557" s="80">
        <v>3.7985700000000002E-16</v>
      </c>
      <c r="D557" s="66">
        <v>3.14</v>
      </c>
      <c r="E557" s="80">
        <v>-2.55217E-12</v>
      </c>
    </row>
    <row r="558" spans="1:5">
      <c r="A558" s="78">
        <v>55.5</v>
      </c>
      <c r="B558" s="67">
        <v>3.14</v>
      </c>
      <c r="C558" s="81">
        <v>3.8734400000000002E-16</v>
      </c>
      <c r="D558" s="67">
        <v>3.14</v>
      </c>
      <c r="E558" s="81">
        <v>-2.4719E-12</v>
      </c>
    </row>
    <row r="559" spans="1:5">
      <c r="A559" s="76">
        <v>55.6</v>
      </c>
      <c r="B559" s="66">
        <v>3.14</v>
      </c>
      <c r="C559" s="80">
        <v>3.9390900000000001E-16</v>
      </c>
      <c r="D559" s="66">
        <v>3.14</v>
      </c>
      <c r="E559" s="80">
        <v>-2.38671E-12</v>
      </c>
    </row>
    <row r="560" spans="1:5">
      <c r="A560" s="78">
        <v>55.7</v>
      </c>
      <c r="B560" s="67">
        <v>3.14</v>
      </c>
      <c r="C560" s="81">
        <v>3.9966500000000001E-16</v>
      </c>
      <c r="D560" s="67">
        <v>3.14</v>
      </c>
      <c r="E560" s="81">
        <v>-2.2975200000000001E-12</v>
      </c>
    </row>
    <row r="561" spans="1:5">
      <c r="A561" s="76">
        <v>55.8</v>
      </c>
      <c r="B561" s="66">
        <v>3.14</v>
      </c>
      <c r="C561" s="80">
        <v>4.0471200000000001E-16</v>
      </c>
      <c r="D561" s="66">
        <v>3.14</v>
      </c>
      <c r="E561" s="80">
        <v>-2.2051500000000002E-12</v>
      </c>
    </row>
    <row r="562" spans="1:5">
      <c r="A562" s="78">
        <v>55.9</v>
      </c>
      <c r="B562" s="67">
        <v>3.14</v>
      </c>
      <c r="C562" s="81">
        <v>4.0913799999999999E-16</v>
      </c>
      <c r="D562" s="67">
        <v>3.14</v>
      </c>
      <c r="E562" s="81">
        <v>-2.1103899999999999E-12</v>
      </c>
    </row>
    <row r="563" spans="1:5">
      <c r="A563" s="76">
        <v>56</v>
      </c>
      <c r="B563" s="66">
        <v>3.14</v>
      </c>
      <c r="C563" s="80">
        <v>4.1301899999999999E-16</v>
      </c>
      <c r="D563" s="66">
        <v>3.14</v>
      </c>
      <c r="E563" s="80">
        <v>-2.0139400000000002E-12</v>
      </c>
    </row>
    <row r="564" spans="1:5">
      <c r="A564" s="78">
        <v>56.1</v>
      </c>
      <c r="B564" s="67">
        <v>3.14</v>
      </c>
      <c r="C564" s="81">
        <v>4.1642099999999999E-16</v>
      </c>
      <c r="D564" s="67">
        <v>3.14</v>
      </c>
      <c r="E564" s="81">
        <v>-1.91645E-12</v>
      </c>
    </row>
    <row r="565" spans="1:5">
      <c r="A565" s="76">
        <v>56.2</v>
      </c>
      <c r="B565" s="66">
        <v>3.14</v>
      </c>
      <c r="C565" s="80">
        <v>4.1940500000000001E-16</v>
      </c>
      <c r="D565" s="66">
        <v>3.14</v>
      </c>
      <c r="E565" s="80">
        <v>-1.8185100000000001E-12</v>
      </c>
    </row>
    <row r="566" spans="1:5">
      <c r="A566" s="78">
        <v>56.3</v>
      </c>
      <c r="B566" s="67">
        <v>3.14</v>
      </c>
      <c r="C566" s="81">
        <v>4.2202100000000002E-16</v>
      </c>
      <c r="D566" s="67">
        <v>3.14</v>
      </c>
      <c r="E566" s="81">
        <v>-1.7206600000000001E-12</v>
      </c>
    </row>
    <row r="567" spans="1:5">
      <c r="A567" s="76">
        <v>56.4</v>
      </c>
      <c r="B567" s="66">
        <v>3.14</v>
      </c>
      <c r="C567" s="80">
        <v>4.2431500000000002E-16</v>
      </c>
      <c r="D567" s="66">
        <v>3.14</v>
      </c>
      <c r="E567" s="80">
        <v>-1.6233999999999999E-12</v>
      </c>
    </row>
    <row r="568" spans="1:5">
      <c r="A568" s="78">
        <v>56.5</v>
      </c>
      <c r="B568" s="67">
        <v>3.14</v>
      </c>
      <c r="C568" s="81">
        <v>4.2632700000000001E-16</v>
      </c>
      <c r="D568" s="67">
        <v>3.14</v>
      </c>
      <c r="E568" s="81">
        <v>-1.52718E-12</v>
      </c>
    </row>
    <row r="569" spans="1:5">
      <c r="A569" s="76">
        <v>56.6</v>
      </c>
      <c r="B569" s="66">
        <v>3.14</v>
      </c>
      <c r="C569" s="80">
        <v>4.2809099999999999E-16</v>
      </c>
      <c r="D569" s="66">
        <v>3.14</v>
      </c>
      <c r="E569" s="80">
        <v>-1.43236E-12</v>
      </c>
    </row>
    <row r="570" spans="1:5">
      <c r="A570" s="78">
        <v>56.7</v>
      </c>
      <c r="B570" s="67">
        <v>3.14</v>
      </c>
      <c r="C570" s="81">
        <v>4.2963700000000001E-16</v>
      </c>
      <c r="D570" s="67">
        <v>3.14</v>
      </c>
      <c r="E570" s="81">
        <v>-1.3393100000000001E-12</v>
      </c>
    </row>
    <row r="571" spans="1:5">
      <c r="A571" s="76">
        <v>56.8</v>
      </c>
      <c r="B571" s="66">
        <v>3.14</v>
      </c>
      <c r="C571" s="80">
        <v>4.3099299999999998E-16</v>
      </c>
      <c r="D571" s="66">
        <v>3.14</v>
      </c>
      <c r="E571" s="80">
        <v>-1.24833E-12</v>
      </c>
    </row>
    <row r="572" spans="1:5">
      <c r="A572" s="78">
        <v>56.9</v>
      </c>
      <c r="B572" s="67">
        <v>3.14</v>
      </c>
      <c r="C572" s="81">
        <v>4.3218300000000001E-16</v>
      </c>
      <c r="D572" s="67">
        <v>3.14</v>
      </c>
      <c r="E572" s="81">
        <v>-1.1596900000000001E-12</v>
      </c>
    </row>
    <row r="573" spans="1:5">
      <c r="A573" s="76">
        <v>57</v>
      </c>
      <c r="B573" s="66">
        <v>3.14</v>
      </c>
      <c r="C573" s="80">
        <v>4.33225E-16</v>
      </c>
      <c r="D573" s="66">
        <v>3.14</v>
      </c>
      <c r="E573" s="80">
        <v>-1.0736E-12</v>
      </c>
    </row>
    <row r="574" spans="1:5">
      <c r="A574" s="78">
        <v>57.1</v>
      </c>
      <c r="B574" s="67">
        <v>3.14</v>
      </c>
      <c r="C574" s="81">
        <v>4.3413999999999999E-16</v>
      </c>
      <c r="D574" s="67">
        <v>3.14</v>
      </c>
      <c r="E574" s="81">
        <v>-9.902870000000001E-13</v>
      </c>
    </row>
    <row r="575" spans="1:5">
      <c r="A575" s="76">
        <v>57.2</v>
      </c>
      <c r="B575" s="66">
        <v>3.14</v>
      </c>
      <c r="C575" s="80">
        <v>4.3494099999999999E-16</v>
      </c>
      <c r="D575" s="66">
        <v>3.14</v>
      </c>
      <c r="E575" s="80">
        <v>-9.0989299999999999E-13</v>
      </c>
    </row>
    <row r="576" spans="1:5">
      <c r="A576" s="78">
        <v>57.3</v>
      </c>
      <c r="B576" s="67">
        <v>3.14</v>
      </c>
      <c r="C576" s="81">
        <v>4.3564399999999998E-16</v>
      </c>
      <c r="D576" s="67">
        <v>3.14</v>
      </c>
      <c r="E576" s="81">
        <v>-8.3254099999999998E-13</v>
      </c>
    </row>
    <row r="577" spans="1:5">
      <c r="A577" s="76">
        <v>57.4</v>
      </c>
      <c r="B577" s="66">
        <v>3.14</v>
      </c>
      <c r="C577" s="80">
        <v>4.3626000000000001E-16</v>
      </c>
      <c r="D577" s="66">
        <v>3.14</v>
      </c>
      <c r="E577" s="80">
        <v>-7.5833599999999999E-13</v>
      </c>
    </row>
    <row r="578" spans="1:5">
      <c r="A578" s="78">
        <v>57.5</v>
      </c>
      <c r="B578" s="67">
        <v>3.14</v>
      </c>
      <c r="C578" s="81">
        <v>4.3680099999999999E-16</v>
      </c>
      <c r="D578" s="67">
        <v>3.14</v>
      </c>
      <c r="E578" s="81">
        <v>-6.8735799999999997E-13</v>
      </c>
    </row>
    <row r="579" spans="1:5">
      <c r="A579" s="76">
        <v>57.6</v>
      </c>
      <c r="B579" s="66">
        <v>3.14</v>
      </c>
      <c r="C579" s="80">
        <v>4.3727499999999999E-16</v>
      </c>
      <c r="D579" s="66">
        <v>3.14</v>
      </c>
      <c r="E579" s="80">
        <v>-6.1965300000000001E-13</v>
      </c>
    </row>
    <row r="580" spans="1:5">
      <c r="A580" s="78">
        <v>57.7</v>
      </c>
      <c r="B580" s="67">
        <v>3.14</v>
      </c>
      <c r="C580" s="81">
        <v>4.3769000000000002E-16</v>
      </c>
      <c r="D580" s="67">
        <v>3.14</v>
      </c>
      <c r="E580" s="81">
        <v>-5.5525200000000003E-13</v>
      </c>
    </row>
    <row r="581" spans="1:5">
      <c r="A581" s="76">
        <v>57.8</v>
      </c>
      <c r="B581" s="66">
        <v>3.14</v>
      </c>
      <c r="C581" s="80">
        <v>4.3805499999999998E-16</v>
      </c>
      <c r="D581" s="66">
        <v>3.14</v>
      </c>
      <c r="E581" s="80">
        <v>-4.9417399999999999E-13</v>
      </c>
    </row>
    <row r="582" spans="1:5">
      <c r="A582" s="78">
        <v>57.9</v>
      </c>
      <c r="B582" s="67">
        <v>3.14</v>
      </c>
      <c r="C582" s="81">
        <v>4.3837399999999998E-16</v>
      </c>
      <c r="D582" s="67">
        <v>3.14</v>
      </c>
      <c r="E582" s="81">
        <v>-4.3641500000000001E-13</v>
      </c>
    </row>
    <row r="583" spans="1:5">
      <c r="A583" s="76">
        <v>58</v>
      </c>
      <c r="B583" s="66">
        <v>3.14</v>
      </c>
      <c r="C583" s="80">
        <v>4.3865400000000001E-16</v>
      </c>
      <c r="D583" s="66">
        <v>3.14</v>
      </c>
      <c r="E583" s="80">
        <v>-3.81943E-13</v>
      </c>
    </row>
    <row r="584" spans="1:5">
      <c r="A584" s="78">
        <v>58.1</v>
      </c>
      <c r="B584" s="67">
        <v>3.14</v>
      </c>
      <c r="C584" s="81">
        <v>4.3889999999999999E-16</v>
      </c>
      <c r="D584" s="67">
        <v>3.14</v>
      </c>
      <c r="E584" s="81">
        <v>-3.30728E-13</v>
      </c>
    </row>
    <row r="585" spans="1:5">
      <c r="A585" s="76">
        <v>58.2</v>
      </c>
      <c r="B585" s="66">
        <v>3.14</v>
      </c>
      <c r="C585" s="80">
        <v>4.3911499999999999E-16</v>
      </c>
      <c r="D585" s="66">
        <v>3.14</v>
      </c>
      <c r="E585" s="80">
        <v>-2.8272600000000001E-13</v>
      </c>
    </row>
    <row r="586" spans="1:5">
      <c r="A586" s="78">
        <v>58.3</v>
      </c>
      <c r="B586" s="67">
        <v>3.14</v>
      </c>
      <c r="C586" s="81">
        <v>4.3930399999999998E-16</v>
      </c>
      <c r="D586" s="67">
        <v>3.14</v>
      </c>
      <c r="E586" s="81">
        <v>-2.3786099999999998E-13</v>
      </c>
    </row>
    <row r="587" spans="1:5">
      <c r="A587" s="76">
        <v>58.4</v>
      </c>
      <c r="B587" s="66">
        <v>3.14</v>
      </c>
      <c r="C587" s="80">
        <v>4.3947000000000002E-16</v>
      </c>
      <c r="D587" s="66">
        <v>3.14</v>
      </c>
      <c r="E587" s="80">
        <v>-1.9605700000000001E-13</v>
      </c>
    </row>
    <row r="588" spans="1:5">
      <c r="A588" s="78">
        <v>58.5</v>
      </c>
      <c r="B588" s="67">
        <v>3.14</v>
      </c>
      <c r="C588" s="81">
        <v>4.39615E-16</v>
      </c>
      <c r="D588" s="67">
        <v>3.14</v>
      </c>
      <c r="E588" s="81">
        <v>-1.57239E-13</v>
      </c>
    </row>
    <row r="589" spans="1:5">
      <c r="A589" s="76">
        <v>58.6</v>
      </c>
      <c r="B589" s="66">
        <v>3.14</v>
      </c>
      <c r="C589" s="80">
        <v>4.3974200000000001E-16</v>
      </c>
      <c r="D589" s="66">
        <v>3.14</v>
      </c>
      <c r="E589" s="80">
        <v>-1.2131699999999999E-13</v>
      </c>
    </row>
    <row r="590" spans="1:5">
      <c r="A590" s="78">
        <v>58.7</v>
      </c>
      <c r="B590" s="67">
        <v>3.14</v>
      </c>
      <c r="C590" s="81">
        <v>4.3985400000000001E-16</v>
      </c>
      <c r="D590" s="67">
        <v>3.14</v>
      </c>
      <c r="E590" s="81">
        <v>-8.8209999999999997E-14</v>
      </c>
    </row>
    <row r="591" spans="1:5">
      <c r="A591" s="76">
        <v>58.8</v>
      </c>
      <c r="B591" s="66">
        <v>3.14</v>
      </c>
      <c r="C591" s="80">
        <v>4.3995200000000001E-16</v>
      </c>
      <c r="D591" s="66">
        <v>3.14</v>
      </c>
      <c r="E591" s="80">
        <v>-5.7811599999999998E-14</v>
      </c>
    </row>
    <row r="592" spans="1:5">
      <c r="A592" s="78">
        <v>58.9</v>
      </c>
      <c r="B592" s="67">
        <v>3.14</v>
      </c>
      <c r="C592" s="81">
        <v>4.4003800000000001E-16</v>
      </c>
      <c r="D592" s="67">
        <v>3.14</v>
      </c>
      <c r="E592" s="81">
        <v>-3.0021099999999999E-14</v>
      </c>
    </row>
    <row r="593" spans="1:5">
      <c r="A593" s="76">
        <v>59</v>
      </c>
      <c r="B593" s="66">
        <v>3.14</v>
      </c>
      <c r="C593" s="80">
        <v>4.4011300000000002E-16</v>
      </c>
      <c r="D593" s="66">
        <v>3.14</v>
      </c>
      <c r="E593" s="80">
        <v>-4.7327900000000001E-15</v>
      </c>
    </row>
    <row r="594" spans="1:5">
      <c r="A594" s="78">
        <v>59.1</v>
      </c>
      <c r="B594" s="67">
        <v>3.14</v>
      </c>
      <c r="C594" s="81">
        <v>4.4017900000000002E-16</v>
      </c>
      <c r="D594" s="67">
        <v>3.14</v>
      </c>
      <c r="E594" s="81">
        <v>1.8171500000000001E-14</v>
      </c>
    </row>
    <row r="595" spans="1:5">
      <c r="A595" s="76">
        <v>59.2</v>
      </c>
      <c r="B595" s="66">
        <v>3.14</v>
      </c>
      <c r="C595" s="80">
        <v>4.4023699999999998E-16</v>
      </c>
      <c r="D595" s="66">
        <v>3.14</v>
      </c>
      <c r="E595" s="80">
        <v>3.8791700000000001E-14</v>
      </c>
    </row>
    <row r="596" spans="1:5">
      <c r="A596" s="78">
        <v>59.3</v>
      </c>
      <c r="B596" s="67">
        <v>3.14</v>
      </c>
      <c r="C596" s="81">
        <v>4.4028800000000002E-16</v>
      </c>
      <c r="D596" s="67">
        <v>3.14</v>
      </c>
      <c r="E596" s="81">
        <v>5.7258800000000002E-14</v>
      </c>
    </row>
    <row r="597" spans="1:5">
      <c r="A597" s="76">
        <v>59.4</v>
      </c>
      <c r="B597" s="66">
        <v>3.14</v>
      </c>
      <c r="C597" s="80">
        <v>4.4033199999999998E-16</v>
      </c>
      <c r="D597" s="66">
        <v>3.14</v>
      </c>
      <c r="E597" s="80">
        <v>7.3669300000000003E-14</v>
      </c>
    </row>
    <row r="598" spans="1:5">
      <c r="A598" s="78">
        <v>59.5</v>
      </c>
      <c r="B598" s="67">
        <v>3.14</v>
      </c>
      <c r="C598" s="81">
        <v>4.4037100000000001E-16</v>
      </c>
      <c r="D598" s="67">
        <v>3.14</v>
      </c>
      <c r="E598" s="81">
        <v>8.8133000000000002E-14</v>
      </c>
    </row>
    <row r="599" spans="1:5">
      <c r="A599" s="76">
        <v>59.6</v>
      </c>
      <c r="B599" s="66">
        <v>3.14</v>
      </c>
      <c r="C599" s="80">
        <v>4.40405E-16</v>
      </c>
      <c r="D599" s="66">
        <v>3.14</v>
      </c>
      <c r="E599" s="80">
        <v>1.00768E-13</v>
      </c>
    </row>
    <row r="600" spans="1:5">
      <c r="A600" s="78">
        <v>59.7</v>
      </c>
      <c r="B600" s="67">
        <v>3.14</v>
      </c>
      <c r="C600" s="81">
        <v>4.4043499999999998E-16</v>
      </c>
      <c r="D600" s="67">
        <v>3.14</v>
      </c>
      <c r="E600" s="81">
        <v>1.1169599999999999E-13</v>
      </c>
    </row>
    <row r="601" spans="1:5">
      <c r="A601" s="76">
        <v>59.8</v>
      </c>
      <c r="B601" s="66">
        <v>3.14</v>
      </c>
      <c r="C601" s="80">
        <v>4.40462E-16</v>
      </c>
      <c r="D601" s="66">
        <v>3.14</v>
      </c>
      <c r="E601" s="80">
        <v>1.2100799999999999E-13</v>
      </c>
    </row>
    <row r="602" spans="1:5">
      <c r="A602" s="78">
        <v>59.9</v>
      </c>
      <c r="B602" s="67">
        <v>3.14</v>
      </c>
      <c r="C602" s="81">
        <v>4.40485E-16</v>
      </c>
      <c r="D602" s="67">
        <v>3.14</v>
      </c>
      <c r="E602" s="81">
        <v>1.28821E-13</v>
      </c>
    </row>
    <row r="603" spans="1:5">
      <c r="A603" s="76">
        <v>60</v>
      </c>
      <c r="B603" s="66">
        <v>3.14</v>
      </c>
      <c r="C603" s="80">
        <v>4.40505E-16</v>
      </c>
      <c r="D603" s="66">
        <v>3.14</v>
      </c>
      <c r="E603" s="80">
        <v>1.3523300000000001E-13</v>
      </c>
    </row>
    <row r="604" spans="1:5">
      <c r="A604" s="78">
        <v>60.1</v>
      </c>
      <c r="B604" s="67">
        <v>3.14</v>
      </c>
      <c r="C604" s="81">
        <v>4.4052300000000001E-16</v>
      </c>
      <c r="D604" s="67">
        <v>3.14</v>
      </c>
      <c r="E604" s="81">
        <v>1.40344E-13</v>
      </c>
    </row>
    <row r="605" spans="1:5">
      <c r="A605" s="76">
        <v>60.2</v>
      </c>
      <c r="B605" s="66">
        <v>3.14</v>
      </c>
      <c r="C605" s="80">
        <v>4.4053800000000002E-16</v>
      </c>
      <c r="D605" s="66">
        <v>3.14</v>
      </c>
      <c r="E605" s="80">
        <v>1.44255E-13</v>
      </c>
    </row>
    <row r="606" spans="1:5">
      <c r="A606" s="78">
        <v>60.3</v>
      </c>
      <c r="B606" s="67">
        <v>3.14</v>
      </c>
      <c r="C606" s="81">
        <v>4.4055200000000001E-16</v>
      </c>
      <c r="D606" s="67">
        <v>3.14</v>
      </c>
      <c r="E606" s="81">
        <v>1.4706600000000001E-13</v>
      </c>
    </row>
    <row r="607" spans="1:5">
      <c r="A607" s="76">
        <v>60.4</v>
      </c>
      <c r="B607" s="66">
        <v>3.14</v>
      </c>
      <c r="C607" s="80">
        <v>4.4056400000000002E-16</v>
      </c>
      <c r="D607" s="66">
        <v>3.14</v>
      </c>
      <c r="E607" s="80">
        <v>1.48848E-13</v>
      </c>
    </row>
    <row r="608" spans="1:5">
      <c r="A608" s="78">
        <v>60.5</v>
      </c>
      <c r="B608" s="67">
        <v>3.14</v>
      </c>
      <c r="C608" s="81">
        <v>4.40574E-16</v>
      </c>
      <c r="D608" s="67">
        <v>3.14</v>
      </c>
      <c r="E608" s="81">
        <v>1.49711E-13</v>
      </c>
    </row>
    <row r="609" spans="1:5">
      <c r="A609" s="76">
        <v>60.6</v>
      </c>
      <c r="B609" s="66">
        <v>3.14</v>
      </c>
      <c r="C609" s="80">
        <v>4.40583E-16</v>
      </c>
      <c r="D609" s="66">
        <v>3.14</v>
      </c>
      <c r="E609" s="80">
        <v>1.4972300000000001E-13</v>
      </c>
    </row>
    <row r="610" spans="1:5">
      <c r="A610" s="78">
        <v>60.7</v>
      </c>
      <c r="B610" s="67">
        <v>3.14</v>
      </c>
      <c r="C610" s="81">
        <v>4.4059200000000001E-16</v>
      </c>
      <c r="D610" s="67">
        <v>3.14</v>
      </c>
      <c r="E610" s="81">
        <v>1.4896500000000001E-13</v>
      </c>
    </row>
    <row r="611" spans="1:5">
      <c r="A611" s="76">
        <v>60.8</v>
      </c>
      <c r="B611" s="66">
        <v>3.14</v>
      </c>
      <c r="C611" s="80">
        <v>4.4059899999999998E-16</v>
      </c>
      <c r="D611" s="66">
        <v>3.14</v>
      </c>
      <c r="E611" s="80">
        <v>1.47515E-13</v>
      </c>
    </row>
    <row r="612" spans="1:5">
      <c r="A612" s="78">
        <v>60.9</v>
      </c>
      <c r="B612" s="67">
        <v>3.14</v>
      </c>
      <c r="C612" s="81">
        <v>4.4060499999999999E-16</v>
      </c>
      <c r="D612" s="67">
        <v>3.14</v>
      </c>
      <c r="E612" s="81">
        <v>1.45458E-13</v>
      </c>
    </row>
    <row r="613" spans="1:5">
      <c r="A613" s="76">
        <v>61</v>
      </c>
      <c r="B613" s="66">
        <v>3.14</v>
      </c>
      <c r="C613" s="80">
        <v>4.4061000000000002E-16</v>
      </c>
      <c r="D613" s="66">
        <v>3.14</v>
      </c>
      <c r="E613" s="80">
        <v>1.42871E-13</v>
      </c>
    </row>
    <row r="614" spans="1:5">
      <c r="A614" s="78">
        <v>61.1</v>
      </c>
      <c r="B614" s="67">
        <v>3.14</v>
      </c>
      <c r="C614" s="81">
        <v>4.4061500000000001E-16</v>
      </c>
      <c r="D614" s="67">
        <v>3.14</v>
      </c>
      <c r="E614" s="81">
        <v>1.39807E-13</v>
      </c>
    </row>
    <row r="615" spans="1:5">
      <c r="A615" s="76">
        <v>61.2</v>
      </c>
      <c r="B615" s="66">
        <v>3.14</v>
      </c>
      <c r="C615" s="80">
        <v>4.4061899999999998E-16</v>
      </c>
      <c r="D615" s="66">
        <v>3.14</v>
      </c>
      <c r="E615" s="80">
        <v>1.36317E-13</v>
      </c>
    </row>
    <row r="616" spans="1:5">
      <c r="A616" s="78">
        <v>61.3</v>
      </c>
      <c r="B616" s="67">
        <v>3.14</v>
      </c>
      <c r="C616" s="81">
        <v>4.40623E-16</v>
      </c>
      <c r="D616" s="67">
        <v>3.14</v>
      </c>
      <c r="E616" s="81">
        <v>1.3247799999999999E-13</v>
      </c>
    </row>
    <row r="617" spans="1:5">
      <c r="A617" s="76">
        <v>61.4</v>
      </c>
      <c r="B617" s="66">
        <v>3.14</v>
      </c>
      <c r="C617" s="80">
        <v>4.40626E-16</v>
      </c>
      <c r="D617" s="66">
        <v>3.14</v>
      </c>
      <c r="E617" s="80">
        <v>1.2833199999999999E-13</v>
      </c>
    </row>
    <row r="618" spans="1:5">
      <c r="A618" s="78">
        <v>61.5</v>
      </c>
      <c r="B618" s="67">
        <v>3.14</v>
      </c>
      <c r="C618" s="81">
        <v>4.4062900000000001E-16</v>
      </c>
      <c r="D618" s="67">
        <v>3.14</v>
      </c>
      <c r="E618" s="81">
        <v>1.2394500000000001E-13</v>
      </c>
    </row>
    <row r="619" spans="1:5">
      <c r="A619" s="76">
        <v>61.6</v>
      </c>
      <c r="B619" s="66">
        <v>3.14</v>
      </c>
      <c r="C619" s="80">
        <v>4.4063099999999999E-16</v>
      </c>
      <c r="D619" s="66">
        <v>3.14</v>
      </c>
      <c r="E619" s="80">
        <v>1.19348E-13</v>
      </c>
    </row>
    <row r="620" spans="1:5">
      <c r="A620" s="78">
        <v>61.7</v>
      </c>
      <c r="B620" s="67">
        <v>3.14</v>
      </c>
      <c r="C620" s="81">
        <v>4.4063299999999998E-16</v>
      </c>
      <c r="D620" s="67">
        <v>3.14</v>
      </c>
      <c r="E620" s="81">
        <v>1.1459799999999999E-13</v>
      </c>
    </row>
    <row r="621" spans="1:5">
      <c r="A621" s="76">
        <v>61.8</v>
      </c>
      <c r="B621" s="66">
        <v>3.14</v>
      </c>
      <c r="C621" s="80">
        <v>4.4063500000000001E-16</v>
      </c>
      <c r="D621" s="66">
        <v>3.14</v>
      </c>
      <c r="E621" s="80">
        <v>1.0971800000000001E-13</v>
      </c>
    </row>
    <row r="622" spans="1:5">
      <c r="A622" s="78">
        <v>61.9</v>
      </c>
      <c r="B622" s="67">
        <v>3.14</v>
      </c>
      <c r="C622" s="81">
        <v>4.40637E-16</v>
      </c>
      <c r="D622" s="67">
        <v>3.14</v>
      </c>
      <c r="E622" s="81">
        <v>1.0475799999999999E-13</v>
      </c>
    </row>
    <row r="623" spans="1:5">
      <c r="A623" s="76">
        <v>62</v>
      </c>
      <c r="B623" s="66">
        <v>3.14</v>
      </c>
      <c r="C623" s="80">
        <v>4.4063899999999998E-16</v>
      </c>
      <c r="D623" s="66">
        <v>3.14</v>
      </c>
      <c r="E623" s="80">
        <v>9.9732599999999994E-14</v>
      </c>
    </row>
    <row r="624" spans="1:5">
      <c r="A624" s="78">
        <v>62.1</v>
      </c>
      <c r="B624" s="67">
        <v>3.14</v>
      </c>
      <c r="C624" s="81">
        <v>4.4064E-16</v>
      </c>
      <c r="D624" s="67">
        <v>3.14</v>
      </c>
      <c r="E624" s="81">
        <v>9.4686200000000001E-14</v>
      </c>
    </row>
    <row r="625" spans="1:5">
      <c r="A625" s="76">
        <v>62.2</v>
      </c>
      <c r="B625" s="66">
        <v>3.14</v>
      </c>
      <c r="C625" s="80">
        <v>4.4064100000000001E-16</v>
      </c>
      <c r="D625" s="66">
        <v>3.14</v>
      </c>
      <c r="E625" s="80">
        <v>8.9635599999999994E-14</v>
      </c>
    </row>
    <row r="626" spans="1:5">
      <c r="A626" s="78">
        <v>62.3</v>
      </c>
      <c r="B626" s="67">
        <v>3.14</v>
      </c>
      <c r="C626" s="81">
        <v>4.4064199999999998E-16</v>
      </c>
      <c r="D626" s="67">
        <v>3.14</v>
      </c>
      <c r="E626" s="81">
        <v>8.4604E-14</v>
      </c>
    </row>
    <row r="627" spans="1:5">
      <c r="A627" s="76">
        <v>62.4</v>
      </c>
      <c r="B627" s="66">
        <v>3.14</v>
      </c>
      <c r="C627" s="80">
        <v>4.40643E-16</v>
      </c>
      <c r="D627" s="66">
        <v>3.14</v>
      </c>
      <c r="E627" s="80">
        <v>7.9615899999999999E-14</v>
      </c>
    </row>
    <row r="628" spans="1:5">
      <c r="A628" s="78">
        <v>62.5</v>
      </c>
      <c r="B628" s="67">
        <v>3.14</v>
      </c>
      <c r="C628" s="81">
        <v>4.4064400000000002E-16</v>
      </c>
      <c r="D628" s="67">
        <v>3.14</v>
      </c>
      <c r="E628" s="81">
        <v>7.4708600000000004E-14</v>
      </c>
    </row>
    <row r="629" spans="1:5">
      <c r="A629" s="76">
        <v>62.6</v>
      </c>
      <c r="B629" s="66">
        <v>3.14</v>
      </c>
      <c r="C629" s="80">
        <v>4.4064400000000002E-16</v>
      </c>
      <c r="D629" s="66">
        <v>3.14</v>
      </c>
      <c r="E629" s="80">
        <v>6.99044E-14</v>
      </c>
    </row>
    <row r="630" spans="1:5">
      <c r="A630" s="78">
        <v>62.7</v>
      </c>
      <c r="B630" s="67">
        <v>3.14</v>
      </c>
      <c r="C630" s="81">
        <v>4.4064499999999998E-16</v>
      </c>
      <c r="D630" s="67">
        <v>3.14</v>
      </c>
      <c r="E630" s="81">
        <v>6.5200999999999999E-14</v>
      </c>
    </row>
    <row r="631" spans="1:5">
      <c r="A631" s="76">
        <v>62.8</v>
      </c>
      <c r="B631" s="66">
        <v>3.14</v>
      </c>
      <c r="C631" s="80">
        <v>4.4064499999999998E-16</v>
      </c>
      <c r="D631" s="66">
        <v>3.14</v>
      </c>
      <c r="E631" s="80">
        <v>6.0626500000000002E-14</v>
      </c>
    </row>
    <row r="632" spans="1:5">
      <c r="A632" s="78">
        <v>62.9</v>
      </c>
      <c r="B632" s="67">
        <v>3.14</v>
      </c>
      <c r="C632" s="81">
        <v>4.40646E-16</v>
      </c>
      <c r="D632" s="67">
        <v>3.14</v>
      </c>
      <c r="E632" s="81">
        <v>5.6176100000000002E-14</v>
      </c>
    </row>
    <row r="633" spans="1:5">
      <c r="A633" s="76">
        <v>63</v>
      </c>
      <c r="B633" s="66">
        <v>3.14</v>
      </c>
      <c r="C633" s="80">
        <v>4.40646E-16</v>
      </c>
      <c r="D633" s="66">
        <v>3.14</v>
      </c>
      <c r="E633" s="80">
        <v>5.1875599999999999E-14</v>
      </c>
    </row>
    <row r="634" spans="1:5">
      <c r="A634" s="78">
        <v>63.1</v>
      </c>
      <c r="B634" s="67">
        <v>3.14</v>
      </c>
      <c r="C634" s="81">
        <v>4.40646E-16</v>
      </c>
      <c r="D634" s="67">
        <v>3.14</v>
      </c>
      <c r="E634" s="81">
        <v>4.7718300000000001E-14</v>
      </c>
    </row>
    <row r="635" spans="1:5">
      <c r="A635" s="76">
        <v>63.2</v>
      </c>
      <c r="B635" s="66">
        <v>3.14</v>
      </c>
      <c r="C635" s="80">
        <v>4.4064700000000002E-16</v>
      </c>
      <c r="D635" s="66">
        <v>3.14</v>
      </c>
      <c r="E635" s="80">
        <v>4.3728100000000002E-14</v>
      </c>
    </row>
    <row r="636" spans="1:5">
      <c r="A636" s="78">
        <v>63.3</v>
      </c>
      <c r="B636" s="67">
        <v>3.14</v>
      </c>
      <c r="C636" s="81">
        <v>4.4064700000000002E-16</v>
      </c>
      <c r="D636" s="67">
        <v>3.14</v>
      </c>
      <c r="E636" s="81">
        <v>3.9896599999999999E-14</v>
      </c>
    </row>
    <row r="637" spans="1:5">
      <c r="A637" s="76">
        <v>63.4</v>
      </c>
      <c r="B637" s="66">
        <v>3.14</v>
      </c>
      <c r="C637" s="80">
        <v>4.4064700000000002E-16</v>
      </c>
      <c r="D637" s="66">
        <v>3.14</v>
      </c>
      <c r="E637" s="80">
        <v>3.6242500000000003E-14</v>
      </c>
    </row>
    <row r="638" spans="1:5">
      <c r="A638" s="78">
        <v>63.5</v>
      </c>
      <c r="B638" s="67">
        <v>3.14</v>
      </c>
      <c r="C638" s="81">
        <v>4.4064700000000002E-16</v>
      </c>
      <c r="D638" s="67">
        <v>3.14</v>
      </c>
      <c r="E638" s="81">
        <v>3.2737599999999998E-14</v>
      </c>
    </row>
    <row r="639" spans="1:5">
      <c r="A639" s="76">
        <v>63.6</v>
      </c>
      <c r="B639" s="66">
        <v>3.14</v>
      </c>
      <c r="C639" s="80">
        <v>4.4064799999999999E-16</v>
      </c>
      <c r="D639" s="66">
        <v>3.14</v>
      </c>
      <c r="E639" s="80">
        <v>2.9397799999999998E-14</v>
      </c>
    </row>
    <row r="640" spans="1:5">
      <c r="A640" s="78">
        <v>63.7</v>
      </c>
      <c r="B640" s="67">
        <v>3.14</v>
      </c>
      <c r="C640" s="81">
        <v>4.4064799999999999E-16</v>
      </c>
      <c r="D640" s="67">
        <v>3.14</v>
      </c>
      <c r="E640" s="81">
        <v>2.6229999999999999E-14</v>
      </c>
    </row>
    <row r="641" spans="1:5">
      <c r="A641" s="76">
        <v>63.8</v>
      </c>
      <c r="B641" s="66">
        <v>3.14</v>
      </c>
      <c r="C641" s="80">
        <v>4.4064799999999999E-16</v>
      </c>
      <c r="D641" s="66">
        <v>3.14</v>
      </c>
      <c r="E641" s="80">
        <v>2.3228999999999999E-14</v>
      </c>
    </row>
    <row r="642" spans="1:5">
      <c r="A642" s="78">
        <v>63.9</v>
      </c>
      <c r="B642" s="67">
        <v>3.14</v>
      </c>
      <c r="C642" s="81">
        <v>4.4064799999999999E-16</v>
      </c>
      <c r="D642" s="67">
        <v>3.14</v>
      </c>
      <c r="E642" s="81">
        <v>2.03901E-14</v>
      </c>
    </row>
    <row r="643" spans="1:5">
      <c r="A643" s="76">
        <v>64</v>
      </c>
      <c r="B643" s="66">
        <v>3.14</v>
      </c>
      <c r="C643" s="80">
        <v>4.4064799999999999E-16</v>
      </c>
      <c r="D643" s="66">
        <v>3.14</v>
      </c>
      <c r="E643" s="80">
        <v>1.7720699999999999E-14</v>
      </c>
    </row>
    <row r="644" spans="1:5">
      <c r="A644" s="78">
        <v>64.099999999999994</v>
      </c>
      <c r="B644" s="67">
        <v>3.14</v>
      </c>
      <c r="C644" s="81">
        <v>4.4064799999999999E-16</v>
      </c>
      <c r="D644" s="67">
        <v>3.14</v>
      </c>
      <c r="E644" s="81">
        <v>1.5215600000000001E-14</v>
      </c>
    </row>
    <row r="645" spans="1:5">
      <c r="A645" s="76">
        <v>64.2</v>
      </c>
      <c r="B645" s="66">
        <v>3.14</v>
      </c>
      <c r="C645" s="80">
        <v>4.4064799999999999E-16</v>
      </c>
      <c r="D645" s="66">
        <v>3.14</v>
      </c>
      <c r="E645" s="80">
        <v>1.28631E-14</v>
      </c>
    </row>
    <row r="646" spans="1:5">
      <c r="A646" s="78">
        <v>64.3</v>
      </c>
      <c r="B646" s="67">
        <v>3.14</v>
      </c>
      <c r="C646" s="81">
        <v>4.4064799999999999E-16</v>
      </c>
      <c r="D646" s="67">
        <v>3.14</v>
      </c>
      <c r="E646" s="81">
        <v>1.06824E-14</v>
      </c>
    </row>
    <row r="647" spans="1:5">
      <c r="A647" s="76">
        <v>64.400000000000006</v>
      </c>
      <c r="B647" s="66">
        <v>3.14</v>
      </c>
      <c r="C647" s="80">
        <v>4.4064799999999999E-16</v>
      </c>
      <c r="D647" s="66">
        <v>3.14</v>
      </c>
      <c r="E647" s="80">
        <v>8.6458600000000004E-15</v>
      </c>
    </row>
    <row r="648" spans="1:5">
      <c r="A648" s="78">
        <v>64.5</v>
      </c>
      <c r="B648" s="67">
        <v>3.14</v>
      </c>
      <c r="C648" s="81">
        <v>4.40649E-16</v>
      </c>
      <c r="D648" s="67">
        <v>3.14</v>
      </c>
      <c r="E648" s="81">
        <v>6.7584800000000001E-15</v>
      </c>
    </row>
    <row r="649" spans="1:5">
      <c r="A649" s="76">
        <v>64.599999999999994</v>
      </c>
      <c r="B649" s="66">
        <v>3.14</v>
      </c>
      <c r="C649" s="80">
        <v>4.40649E-16</v>
      </c>
      <c r="D649" s="66">
        <v>3.14</v>
      </c>
      <c r="E649" s="80">
        <v>5.0099599999999999E-15</v>
      </c>
    </row>
    <row r="650" spans="1:5">
      <c r="A650" s="78">
        <v>64.7</v>
      </c>
      <c r="B650" s="67">
        <v>3.14</v>
      </c>
      <c r="C650" s="81">
        <v>4.40649E-16</v>
      </c>
      <c r="D650" s="67">
        <v>3.14</v>
      </c>
      <c r="E650" s="81">
        <v>3.4132100000000001E-15</v>
      </c>
    </row>
    <row r="651" spans="1:5">
      <c r="A651" s="76">
        <v>64.8</v>
      </c>
      <c r="B651" s="66">
        <v>3.14</v>
      </c>
      <c r="C651" s="80">
        <v>4.40649E-16</v>
      </c>
      <c r="D651" s="66">
        <v>3.14</v>
      </c>
      <c r="E651" s="80">
        <v>1.95376E-15</v>
      </c>
    </row>
    <row r="652" spans="1:5">
      <c r="A652" s="78">
        <v>64.900000000000006</v>
      </c>
      <c r="B652" s="67">
        <v>3.14</v>
      </c>
      <c r="C652" s="81">
        <v>4.40649E-16</v>
      </c>
      <c r="D652" s="67">
        <v>3.14</v>
      </c>
      <c r="E652" s="81">
        <v>6.1493000000000002E-16</v>
      </c>
    </row>
    <row r="653" spans="1:5">
      <c r="A653" s="76">
        <v>65</v>
      </c>
      <c r="B653" s="66">
        <v>3.14</v>
      </c>
      <c r="C653" s="80">
        <v>4.40649E-16</v>
      </c>
      <c r="D653" s="66">
        <v>3.14</v>
      </c>
      <c r="E653" s="80">
        <v>-5.9615199999999997E-16</v>
      </c>
    </row>
    <row r="654" spans="1:5">
      <c r="A654" s="78">
        <v>65.099999999999994</v>
      </c>
      <c r="B654" s="67">
        <v>3.14</v>
      </c>
      <c r="C654" s="81">
        <v>4.40649E-16</v>
      </c>
      <c r="D654" s="67">
        <v>3.14</v>
      </c>
      <c r="E654" s="81">
        <v>-1.6916699999999999E-15</v>
      </c>
    </row>
    <row r="655" spans="1:5">
      <c r="A655" s="76">
        <v>65.2</v>
      </c>
      <c r="B655" s="66">
        <v>3.14</v>
      </c>
      <c r="C655" s="80">
        <v>4.40649E-16</v>
      </c>
      <c r="D655" s="66">
        <v>3.14</v>
      </c>
      <c r="E655" s="80">
        <v>-2.6826600000000001E-15</v>
      </c>
    </row>
    <row r="656" spans="1:5">
      <c r="A656" s="78">
        <v>65.3</v>
      </c>
      <c r="B656" s="67">
        <v>3.14</v>
      </c>
      <c r="C656" s="81">
        <v>4.40649E-16</v>
      </c>
      <c r="D656" s="67">
        <v>3.14</v>
      </c>
      <c r="E656" s="81">
        <v>-3.5751300000000002E-15</v>
      </c>
    </row>
    <row r="657" spans="1:5">
      <c r="A657" s="76">
        <v>65.400000000000006</v>
      </c>
      <c r="B657" s="66">
        <v>3.14</v>
      </c>
      <c r="C657" s="80">
        <v>4.40649E-16</v>
      </c>
      <c r="D657" s="66">
        <v>3.14</v>
      </c>
      <c r="E657" s="80">
        <v>-4.35985E-15</v>
      </c>
    </row>
    <row r="658" spans="1:5">
      <c r="A658" s="78">
        <v>65.5</v>
      </c>
      <c r="B658" s="67">
        <v>3.14</v>
      </c>
      <c r="C658" s="81">
        <v>4.40649E-16</v>
      </c>
      <c r="D658" s="67">
        <v>3.14</v>
      </c>
      <c r="E658" s="81">
        <v>-5.0395799999999997E-15</v>
      </c>
    </row>
    <row r="659" spans="1:5">
      <c r="A659" s="76">
        <v>65.599999999999994</v>
      </c>
      <c r="B659" s="66">
        <v>3.14</v>
      </c>
      <c r="C659" s="80">
        <v>4.40649E-16</v>
      </c>
      <c r="D659" s="66">
        <v>3.14</v>
      </c>
      <c r="E659" s="80">
        <v>-5.6243100000000001E-15</v>
      </c>
    </row>
    <row r="660" spans="1:5">
      <c r="A660" s="78">
        <v>65.7</v>
      </c>
      <c r="B660" s="67">
        <v>3.14</v>
      </c>
      <c r="C660" s="81">
        <v>4.40649E-16</v>
      </c>
      <c r="D660" s="67">
        <v>3.14</v>
      </c>
      <c r="E660" s="81">
        <v>-6.1306500000000003E-15</v>
      </c>
    </row>
    <row r="661" spans="1:5">
      <c r="A661" s="76">
        <v>65.8</v>
      </c>
      <c r="B661" s="66">
        <v>3.14</v>
      </c>
      <c r="C661" s="80">
        <v>4.40649E-16</v>
      </c>
      <c r="D661" s="66">
        <v>3.14</v>
      </c>
      <c r="E661" s="80">
        <v>-6.5660800000000004E-15</v>
      </c>
    </row>
    <row r="662" spans="1:5">
      <c r="A662" s="78">
        <v>65.900000000000006</v>
      </c>
      <c r="B662" s="67">
        <v>3.14</v>
      </c>
      <c r="C662" s="81">
        <v>4.40649E-16</v>
      </c>
      <c r="D662" s="67">
        <v>3.14</v>
      </c>
      <c r="E662" s="81">
        <v>-6.93341E-15</v>
      </c>
    </row>
    <row r="663" spans="1:5">
      <c r="A663" s="76">
        <v>66</v>
      </c>
      <c r="B663" s="66">
        <v>3.14</v>
      </c>
      <c r="C663" s="80">
        <v>4.40649E-16</v>
      </c>
      <c r="D663" s="66">
        <v>3.14</v>
      </c>
      <c r="E663" s="80">
        <v>-7.2204999999999997E-15</v>
      </c>
    </row>
    <row r="664" spans="1:5">
      <c r="A664" s="78">
        <v>66.099999999999994</v>
      </c>
      <c r="B664" s="67">
        <v>3.14</v>
      </c>
      <c r="C664" s="81">
        <v>4.40649E-16</v>
      </c>
      <c r="D664" s="67">
        <v>3.14</v>
      </c>
      <c r="E664" s="81">
        <v>-7.4350000000000003E-15</v>
      </c>
    </row>
    <row r="665" spans="1:5">
      <c r="A665" s="76">
        <v>66.2</v>
      </c>
      <c r="B665" s="66">
        <v>3.14</v>
      </c>
      <c r="C665" s="80">
        <v>4.40649E-16</v>
      </c>
      <c r="D665" s="66">
        <v>3.14</v>
      </c>
      <c r="E665" s="80">
        <v>-7.5838400000000006E-15</v>
      </c>
    </row>
    <row r="666" spans="1:5">
      <c r="A666" s="78">
        <v>66.3</v>
      </c>
      <c r="B666" s="67">
        <v>3.14</v>
      </c>
      <c r="C666" s="81">
        <v>4.40649E-16</v>
      </c>
      <c r="D666" s="67">
        <v>3.14</v>
      </c>
      <c r="E666" s="81">
        <v>-7.6732899999999997E-15</v>
      </c>
    </row>
    <row r="667" spans="1:5">
      <c r="A667" s="76">
        <v>66.400000000000006</v>
      </c>
      <c r="B667" s="66">
        <v>3.14</v>
      </c>
      <c r="C667" s="80">
        <v>4.40649E-16</v>
      </c>
      <c r="D667" s="66">
        <v>3.14</v>
      </c>
      <c r="E667" s="80">
        <v>-7.7090099999999994E-15</v>
      </c>
    </row>
    <row r="668" spans="1:5">
      <c r="A668" s="78">
        <v>66.5</v>
      </c>
      <c r="B668" s="67">
        <v>3.14</v>
      </c>
      <c r="C668" s="81">
        <v>4.40649E-16</v>
      </c>
      <c r="D668" s="67">
        <v>3.14</v>
      </c>
      <c r="E668" s="81">
        <v>-7.6961300000000007E-15</v>
      </c>
    </row>
    <row r="669" spans="1:5">
      <c r="A669" s="76">
        <v>66.599999999999994</v>
      </c>
      <c r="B669" s="66">
        <v>3.14</v>
      </c>
      <c r="C669" s="80">
        <v>4.40649E-16</v>
      </c>
      <c r="D669" s="66">
        <v>3.14</v>
      </c>
      <c r="E669" s="80">
        <v>-7.6392799999999998E-15</v>
      </c>
    </row>
    <row r="670" spans="1:5">
      <c r="A670" s="78">
        <v>66.7</v>
      </c>
      <c r="B670" s="67">
        <v>3.14</v>
      </c>
      <c r="C670" s="81">
        <v>4.40649E-16</v>
      </c>
      <c r="D670" s="67">
        <v>3.14</v>
      </c>
      <c r="E670" s="81">
        <v>-7.5426700000000007E-15</v>
      </c>
    </row>
    <row r="671" spans="1:5">
      <c r="A671" s="76">
        <v>66.8</v>
      </c>
      <c r="B671" s="66">
        <v>3.14</v>
      </c>
      <c r="C671" s="80">
        <v>4.40649E-16</v>
      </c>
      <c r="D671" s="66">
        <v>3.14</v>
      </c>
      <c r="E671" s="80">
        <v>-7.4100799999999999E-15</v>
      </c>
    </row>
    <row r="672" spans="1:5">
      <c r="A672" s="78">
        <v>66.900000000000006</v>
      </c>
      <c r="B672" s="67">
        <v>3.14</v>
      </c>
      <c r="C672" s="81">
        <v>4.40649E-16</v>
      </c>
      <c r="D672" s="67">
        <v>3.14</v>
      </c>
      <c r="E672" s="81">
        <v>-7.2449499999999995E-15</v>
      </c>
    </row>
    <row r="673" spans="1:5">
      <c r="A673" s="76">
        <v>67</v>
      </c>
      <c r="B673" s="66">
        <v>3.14</v>
      </c>
      <c r="C673" s="80">
        <v>4.40649E-16</v>
      </c>
      <c r="D673" s="66">
        <v>3.14</v>
      </c>
      <c r="E673" s="80">
        <v>-7.0503899999999998E-15</v>
      </c>
    </row>
    <row r="674" spans="1:5">
      <c r="A674" s="78">
        <v>67.099999999999994</v>
      </c>
      <c r="B674" s="67">
        <v>3.14</v>
      </c>
      <c r="C674" s="81">
        <v>4.40649E-16</v>
      </c>
      <c r="D674" s="67">
        <v>3.14</v>
      </c>
      <c r="E674" s="81">
        <v>-6.8291999999999998E-15</v>
      </c>
    </row>
    <row r="675" spans="1:5">
      <c r="A675" s="76">
        <v>67.2</v>
      </c>
      <c r="B675" s="66">
        <v>3.14</v>
      </c>
      <c r="C675" s="80">
        <v>4.40649E-16</v>
      </c>
      <c r="D675" s="66">
        <v>3.14</v>
      </c>
      <c r="E675" s="80">
        <v>-6.5839199999999999E-15</v>
      </c>
    </row>
    <row r="676" spans="1:5">
      <c r="A676" s="78">
        <v>67.3</v>
      </c>
      <c r="B676" s="67">
        <v>3.14</v>
      </c>
      <c r="C676" s="81">
        <v>4.40649E-16</v>
      </c>
      <c r="D676" s="67">
        <v>3.14</v>
      </c>
      <c r="E676" s="81">
        <v>-6.3208100000000002E-15</v>
      </c>
    </row>
    <row r="677" spans="1:5">
      <c r="A677" s="76">
        <v>67.400000000000006</v>
      </c>
      <c r="B677" s="66">
        <v>3.14</v>
      </c>
      <c r="C677" s="80">
        <v>4.40649E-16</v>
      </c>
      <c r="D677" s="66">
        <v>3.14</v>
      </c>
      <c r="E677" s="80">
        <v>-6.0602099999999999E-15</v>
      </c>
    </row>
    <row r="678" spans="1:5">
      <c r="A678" s="78">
        <v>67.5</v>
      </c>
      <c r="B678" s="67">
        <v>3.14</v>
      </c>
      <c r="C678" s="81">
        <v>4.40649E-16</v>
      </c>
      <c r="D678" s="67">
        <v>3.14</v>
      </c>
      <c r="E678" s="81">
        <v>-5.8018800000000003E-15</v>
      </c>
    </row>
    <row r="679" spans="1:5">
      <c r="A679" s="76">
        <v>67.599999999999994</v>
      </c>
      <c r="B679" s="66">
        <v>3.14</v>
      </c>
      <c r="C679" s="80">
        <v>4.40649E-16</v>
      </c>
      <c r="D679" s="66">
        <v>3.14</v>
      </c>
      <c r="E679" s="80">
        <v>-5.5456099999999998E-15</v>
      </c>
    </row>
    <row r="680" spans="1:5">
      <c r="A680" s="78">
        <v>67.7</v>
      </c>
      <c r="B680" s="67">
        <v>3.14</v>
      </c>
      <c r="C680" s="81">
        <v>4.40649E-16</v>
      </c>
      <c r="D680" s="67">
        <v>3.14</v>
      </c>
      <c r="E680" s="81">
        <v>-5.2911899999999999E-15</v>
      </c>
    </row>
    <row r="681" spans="1:5">
      <c r="A681" s="76">
        <v>67.8</v>
      </c>
      <c r="B681" s="66">
        <v>3.14</v>
      </c>
      <c r="C681" s="80">
        <v>4.40649E-16</v>
      </c>
      <c r="D681" s="66">
        <v>3.14</v>
      </c>
      <c r="E681" s="80">
        <v>-5.0384499999999997E-15</v>
      </c>
    </row>
    <row r="682" spans="1:5">
      <c r="A682" s="78">
        <v>67.900000000000006</v>
      </c>
      <c r="B682" s="67">
        <v>3.14</v>
      </c>
      <c r="C682" s="81">
        <v>4.40649E-16</v>
      </c>
      <c r="D682" s="67">
        <v>3.14</v>
      </c>
      <c r="E682" s="81">
        <v>-4.7872300000000003E-15</v>
      </c>
    </row>
    <row r="683" spans="1:5">
      <c r="A683" s="76">
        <v>68</v>
      </c>
      <c r="B683" s="66">
        <v>3.14</v>
      </c>
      <c r="C683" s="80">
        <v>4.40649E-16</v>
      </c>
      <c r="D683" s="66">
        <v>3.14</v>
      </c>
      <c r="E683" s="80">
        <v>-4.5373900000000002E-15</v>
      </c>
    </row>
    <row r="684" spans="1:5">
      <c r="A684" s="78">
        <v>68.099999999999994</v>
      </c>
      <c r="B684" s="67">
        <v>3.14</v>
      </c>
      <c r="C684" s="81">
        <v>4.40649E-16</v>
      </c>
      <c r="D684" s="67">
        <v>3.14</v>
      </c>
      <c r="E684" s="81">
        <v>-4.2963E-15</v>
      </c>
    </row>
    <row r="685" spans="1:5">
      <c r="A685" s="76">
        <v>68.2</v>
      </c>
      <c r="B685" s="66">
        <v>3.14</v>
      </c>
      <c r="C685" s="80">
        <v>4.40649E-16</v>
      </c>
      <c r="D685" s="66">
        <v>3.14</v>
      </c>
      <c r="E685" s="80">
        <v>-4.0631700000000001E-15</v>
      </c>
    </row>
    <row r="686" spans="1:5">
      <c r="A686" s="78">
        <v>68.3</v>
      </c>
      <c r="B686" s="67">
        <v>3.14</v>
      </c>
      <c r="C686" s="81">
        <v>4.40649E-16</v>
      </c>
      <c r="D686" s="67">
        <v>3.14</v>
      </c>
      <c r="E686" s="81">
        <v>-3.8296800000000003E-15</v>
      </c>
    </row>
    <row r="687" spans="1:5">
      <c r="A687" s="76">
        <v>68.400000000000006</v>
      </c>
      <c r="B687" s="66">
        <v>3.14</v>
      </c>
      <c r="C687" s="80">
        <v>4.40649E-16</v>
      </c>
      <c r="D687" s="66">
        <v>3.14</v>
      </c>
      <c r="E687" s="80">
        <v>-3.5958800000000004E-15</v>
      </c>
    </row>
    <row r="688" spans="1:5">
      <c r="A688" s="78">
        <v>68.5</v>
      </c>
      <c r="B688" s="67">
        <v>3.14</v>
      </c>
      <c r="C688" s="81">
        <v>4.40649E-16</v>
      </c>
      <c r="D688" s="67">
        <v>3.14</v>
      </c>
      <c r="E688" s="81">
        <v>-3.3617900000000001E-15</v>
      </c>
    </row>
    <row r="689" spans="1:5">
      <c r="A689" s="76">
        <v>68.599999999999994</v>
      </c>
      <c r="B689" s="66">
        <v>3.14</v>
      </c>
      <c r="C689" s="80">
        <v>4.40649E-16</v>
      </c>
      <c r="D689" s="66">
        <v>3.14</v>
      </c>
      <c r="E689" s="80">
        <v>-3.1274400000000002E-15</v>
      </c>
    </row>
    <row r="690" spans="1:5">
      <c r="A690" s="78">
        <v>68.7</v>
      </c>
      <c r="B690" s="67">
        <v>3.14</v>
      </c>
      <c r="C690" s="81">
        <v>4.40649E-16</v>
      </c>
      <c r="D690" s="67">
        <v>3.14</v>
      </c>
      <c r="E690" s="81">
        <v>-2.8928500000000001E-15</v>
      </c>
    </row>
    <row r="691" spans="1:5">
      <c r="A691" s="76">
        <v>68.8</v>
      </c>
      <c r="B691" s="66">
        <v>3.14</v>
      </c>
      <c r="C691" s="80">
        <v>4.40649E-16</v>
      </c>
      <c r="D691" s="66">
        <v>3.14</v>
      </c>
      <c r="E691" s="80">
        <v>-2.65806E-15</v>
      </c>
    </row>
    <row r="692" spans="1:5">
      <c r="A692" s="78">
        <v>68.900000000000006</v>
      </c>
      <c r="B692" s="67">
        <v>3.14</v>
      </c>
      <c r="C692" s="81">
        <v>4.40649E-16</v>
      </c>
      <c r="D692" s="67">
        <v>3.14</v>
      </c>
      <c r="E692" s="81">
        <v>-2.4230700000000001E-15</v>
      </c>
    </row>
    <row r="693" spans="1:5">
      <c r="A693" s="76">
        <v>69</v>
      </c>
      <c r="B693" s="66">
        <v>3.14</v>
      </c>
      <c r="C693" s="80">
        <v>4.40649E-16</v>
      </c>
      <c r="D693" s="66">
        <v>3.14</v>
      </c>
      <c r="E693" s="80">
        <v>-2.1878999999999999E-15</v>
      </c>
    </row>
    <row r="694" spans="1:5">
      <c r="A694" s="78">
        <v>69.099999999999994</v>
      </c>
      <c r="B694" s="67">
        <v>3.14</v>
      </c>
      <c r="C694" s="81">
        <v>4.40649E-16</v>
      </c>
      <c r="D694" s="67">
        <v>3.14</v>
      </c>
      <c r="E694" s="81">
        <v>-1.95654E-15</v>
      </c>
    </row>
    <row r="695" spans="1:5">
      <c r="A695" s="76">
        <v>69.2</v>
      </c>
      <c r="B695" s="66">
        <v>3.14</v>
      </c>
      <c r="C695" s="80">
        <v>4.40649E-16</v>
      </c>
      <c r="D695" s="66">
        <v>3.14</v>
      </c>
      <c r="E695" s="80">
        <v>-1.7472499999999999E-15</v>
      </c>
    </row>
    <row r="696" spans="1:5">
      <c r="A696" s="78">
        <v>69.3</v>
      </c>
      <c r="B696" s="67">
        <v>3.14</v>
      </c>
      <c r="C696" s="81">
        <v>4.40649E-16</v>
      </c>
      <c r="D696" s="67">
        <v>3.14</v>
      </c>
      <c r="E696" s="81">
        <v>-1.55794E-15</v>
      </c>
    </row>
    <row r="697" spans="1:5">
      <c r="A697" s="76">
        <v>69.400000000000006</v>
      </c>
      <c r="B697" s="66">
        <v>3.14</v>
      </c>
      <c r="C697" s="80">
        <v>4.40649E-16</v>
      </c>
      <c r="D697" s="66">
        <v>3.14</v>
      </c>
      <c r="E697" s="80">
        <v>-1.3866900000000001E-15</v>
      </c>
    </row>
    <row r="698" spans="1:5">
      <c r="A698" s="78">
        <v>69.5</v>
      </c>
      <c r="B698" s="67">
        <v>3.14</v>
      </c>
      <c r="C698" s="81">
        <v>4.40649E-16</v>
      </c>
      <c r="D698" s="67">
        <v>3.14</v>
      </c>
      <c r="E698" s="81">
        <v>-1.2317700000000001E-15</v>
      </c>
    </row>
    <row r="699" spans="1:5">
      <c r="A699" s="76">
        <v>69.599999999999994</v>
      </c>
      <c r="B699" s="66">
        <v>3.14</v>
      </c>
      <c r="C699" s="80">
        <v>4.40649E-16</v>
      </c>
      <c r="D699" s="66">
        <v>3.14</v>
      </c>
      <c r="E699" s="80">
        <v>-1.0916399999999999E-15</v>
      </c>
    </row>
    <row r="700" spans="1:5">
      <c r="A700" s="78">
        <v>69.7</v>
      </c>
      <c r="B700" s="67">
        <v>3.14</v>
      </c>
      <c r="C700" s="81">
        <v>4.40649E-16</v>
      </c>
      <c r="D700" s="67">
        <v>3.14</v>
      </c>
      <c r="E700" s="81">
        <v>-9.648850000000001E-16</v>
      </c>
    </row>
    <row r="701" spans="1:5">
      <c r="A701" s="76">
        <v>69.8</v>
      </c>
      <c r="B701" s="66">
        <v>3.14</v>
      </c>
      <c r="C701" s="80">
        <v>4.40649E-16</v>
      </c>
      <c r="D701" s="66">
        <v>3.14</v>
      </c>
      <c r="E701" s="80">
        <v>-8.5022099999999996E-16</v>
      </c>
    </row>
    <row r="702" spans="1:5">
      <c r="A702" s="78">
        <v>69.900000000000006</v>
      </c>
      <c r="B702" s="67">
        <v>3.14</v>
      </c>
      <c r="C702" s="81">
        <v>4.40649E-16</v>
      </c>
      <c r="D702" s="67">
        <v>3.14</v>
      </c>
      <c r="E702" s="81">
        <v>-7.4649799999999997E-16</v>
      </c>
    </row>
    <row r="703" spans="1:5">
      <c r="A703" s="76">
        <v>70</v>
      </c>
      <c r="B703" s="66">
        <v>3.14</v>
      </c>
      <c r="C703" s="80">
        <v>4.40649E-16</v>
      </c>
      <c r="D703" s="66">
        <v>3.14</v>
      </c>
      <c r="E703" s="80">
        <v>-6.5267200000000005E-16</v>
      </c>
    </row>
    <row r="704" spans="1:5">
      <c r="A704" s="78">
        <v>70.099999999999994</v>
      </c>
      <c r="B704" s="67">
        <v>3.14</v>
      </c>
      <c r="C704" s="81">
        <v>4.40649E-16</v>
      </c>
      <c r="D704" s="67">
        <v>3.14</v>
      </c>
      <c r="E704" s="81">
        <v>-5.6779899999999996E-16</v>
      </c>
    </row>
    <row r="705" spans="1:5">
      <c r="A705" s="76">
        <v>70.2</v>
      </c>
      <c r="B705" s="66">
        <v>3.14</v>
      </c>
      <c r="C705" s="80">
        <v>4.40649E-16</v>
      </c>
      <c r="D705" s="66">
        <v>3.14</v>
      </c>
      <c r="E705" s="80">
        <v>-4.9102400000000001E-16</v>
      </c>
    </row>
    <row r="706" spans="1:5">
      <c r="A706" s="78">
        <v>70.3</v>
      </c>
      <c r="B706" s="67">
        <v>3.14</v>
      </c>
      <c r="C706" s="81">
        <v>4.40649E-16</v>
      </c>
      <c r="D706" s="67">
        <v>3.14</v>
      </c>
      <c r="E706" s="81">
        <v>-4.21575E-16</v>
      </c>
    </row>
    <row r="707" spans="1:5">
      <c r="A707" s="76">
        <v>70.400000000000006</v>
      </c>
      <c r="B707" s="66">
        <v>3.14</v>
      </c>
      <c r="C707" s="80">
        <v>4.40649E-16</v>
      </c>
      <c r="D707" s="66">
        <v>3.14</v>
      </c>
      <c r="E707" s="80">
        <v>-3.5875300000000001E-16</v>
      </c>
    </row>
    <row r="708" spans="1:5">
      <c r="A708" s="78">
        <v>70.5</v>
      </c>
      <c r="B708" s="67">
        <v>3.14</v>
      </c>
      <c r="C708" s="81">
        <v>4.40649E-16</v>
      </c>
      <c r="D708" s="67">
        <v>3.14</v>
      </c>
      <c r="E708" s="81">
        <v>-3.0192500000000002E-16</v>
      </c>
    </row>
    <row r="709" spans="1:5">
      <c r="A709" s="76">
        <v>70.599999999999994</v>
      </c>
      <c r="B709" s="66">
        <v>3.14</v>
      </c>
      <c r="C709" s="80">
        <v>4.40649E-16</v>
      </c>
      <c r="D709" s="66">
        <v>3.14</v>
      </c>
      <c r="E709" s="80">
        <v>-2.5051999999999998E-16</v>
      </c>
    </row>
    <row r="710" spans="1:5">
      <c r="A710" s="78">
        <v>70.7</v>
      </c>
      <c r="B710" s="67">
        <v>3.14</v>
      </c>
      <c r="C710" s="81">
        <v>4.40649E-16</v>
      </c>
      <c r="D710" s="67">
        <v>3.14</v>
      </c>
      <c r="E710" s="81">
        <v>-2.0401899999999999E-16</v>
      </c>
    </row>
    <row r="711" spans="1:5">
      <c r="A711" s="76">
        <v>70.8</v>
      </c>
      <c r="B711" s="66">
        <v>3.14</v>
      </c>
      <c r="C711" s="80">
        <v>4.40649E-16</v>
      </c>
      <c r="D711" s="66">
        <v>3.14</v>
      </c>
      <c r="E711" s="80">
        <v>-1.61956E-16</v>
      </c>
    </row>
    <row r="712" spans="1:5">
      <c r="A712" s="78">
        <v>70.900000000000006</v>
      </c>
      <c r="B712" s="67">
        <v>3.14</v>
      </c>
      <c r="C712" s="81">
        <v>4.40649E-16</v>
      </c>
      <c r="D712" s="67">
        <v>3.14</v>
      </c>
      <c r="E712" s="81">
        <v>-1.2390600000000001E-16</v>
      </c>
    </row>
    <row r="713" spans="1:5">
      <c r="A713" s="76">
        <v>71</v>
      </c>
      <c r="B713" s="66">
        <v>3.14</v>
      </c>
      <c r="C713" s="80">
        <v>4.40649E-16</v>
      </c>
      <c r="D713" s="66">
        <v>3.14</v>
      </c>
      <c r="E713" s="80">
        <v>-8.9487100000000005E-17</v>
      </c>
    </row>
    <row r="714" spans="1:5">
      <c r="A714" s="78">
        <v>71.099999999999994</v>
      </c>
      <c r="B714" s="67">
        <v>3.14</v>
      </c>
      <c r="C714" s="81">
        <v>4.40649E-16</v>
      </c>
      <c r="D714" s="67">
        <v>3.14</v>
      </c>
      <c r="E714" s="81">
        <v>-5.8352100000000006E-17</v>
      </c>
    </row>
    <row r="715" spans="1:5">
      <c r="A715" s="76">
        <v>71.2</v>
      </c>
      <c r="B715" s="66">
        <v>3.14</v>
      </c>
      <c r="C715" s="80">
        <v>4.40649E-16</v>
      </c>
      <c r="D715" s="66">
        <v>3.14</v>
      </c>
      <c r="E715" s="80">
        <v>-3.01881E-17</v>
      </c>
    </row>
    <row r="716" spans="1:5">
      <c r="A716" s="78">
        <v>71.3</v>
      </c>
      <c r="B716" s="67">
        <v>3.14</v>
      </c>
      <c r="C716" s="81">
        <v>4.40649E-16</v>
      </c>
      <c r="D716" s="67">
        <v>3.14</v>
      </c>
      <c r="E716" s="81">
        <v>-4.7113899999999997E-18</v>
      </c>
    </row>
    <row r="717" spans="1:5">
      <c r="A717" s="76">
        <v>71.400000000000006</v>
      </c>
      <c r="B717" s="66">
        <v>3.14</v>
      </c>
      <c r="C717" s="80">
        <v>4.40649E-16</v>
      </c>
      <c r="D717" s="66">
        <v>3.14</v>
      </c>
      <c r="E717" s="80">
        <v>1.83344E-17</v>
      </c>
    </row>
    <row r="718" spans="1:5">
      <c r="A718" s="78">
        <v>71.5</v>
      </c>
      <c r="B718" s="67">
        <v>3.14</v>
      </c>
      <c r="C718" s="81">
        <v>4.40649E-16</v>
      </c>
      <c r="D718" s="67">
        <v>3.14</v>
      </c>
      <c r="E718" s="81">
        <v>3.9181100000000002E-17</v>
      </c>
    </row>
    <row r="719" spans="1:5">
      <c r="A719" s="76">
        <v>71.599999999999994</v>
      </c>
      <c r="B719" s="66">
        <v>3.14</v>
      </c>
      <c r="C719" s="80">
        <v>4.40649E-16</v>
      </c>
      <c r="D719" s="66">
        <v>3.14</v>
      </c>
      <c r="E719" s="80">
        <v>5.8038700000000002E-17</v>
      </c>
    </row>
    <row r="720" spans="1:5">
      <c r="A720" s="78">
        <v>71.7</v>
      </c>
      <c r="B720" s="67">
        <v>3.14</v>
      </c>
      <c r="C720" s="81">
        <v>4.40649E-16</v>
      </c>
      <c r="D720" s="67">
        <v>3.14</v>
      </c>
      <c r="E720" s="81">
        <v>7.5096900000000006E-17</v>
      </c>
    </row>
    <row r="721" spans="1:5">
      <c r="A721" s="76">
        <v>71.8</v>
      </c>
      <c r="B721" s="66">
        <v>3.14</v>
      </c>
      <c r="C721" s="80">
        <v>4.40649E-16</v>
      </c>
      <c r="D721" s="66">
        <v>3.14</v>
      </c>
      <c r="E721" s="80">
        <v>9.0527499999999995E-17</v>
      </c>
    </row>
    <row r="722" spans="1:5">
      <c r="A722" s="78">
        <v>71.900000000000006</v>
      </c>
      <c r="B722" s="67">
        <v>3.14</v>
      </c>
      <c r="C722" s="81">
        <v>4.40649E-16</v>
      </c>
      <c r="D722" s="67">
        <v>3.14</v>
      </c>
      <c r="E722" s="81">
        <v>1.04486E-16</v>
      </c>
    </row>
    <row r="723" spans="1:5">
      <c r="A723" s="76">
        <v>72</v>
      </c>
      <c r="B723" s="66">
        <v>3.14</v>
      </c>
      <c r="C723" s="80">
        <v>4.40649E-16</v>
      </c>
      <c r="D723" s="66">
        <v>3.14</v>
      </c>
      <c r="E723" s="80">
        <v>1.17112E-16</v>
      </c>
    </row>
    <row r="724" spans="1:5">
      <c r="A724" s="78">
        <v>72.099999999999994</v>
      </c>
      <c r="B724" s="67">
        <v>3.14</v>
      </c>
      <c r="C724" s="81">
        <v>4.40649E-16</v>
      </c>
      <c r="D724" s="67">
        <v>3.14</v>
      </c>
      <c r="E724" s="81">
        <v>1.2853400000000001E-16</v>
      </c>
    </row>
    <row r="725" spans="1:5">
      <c r="A725" s="76">
        <v>72.2</v>
      </c>
      <c r="B725" s="66">
        <v>3.14</v>
      </c>
      <c r="C725" s="80">
        <v>4.40649E-16</v>
      </c>
      <c r="D725" s="66">
        <v>3.14</v>
      </c>
      <c r="E725" s="80">
        <v>1.3886499999999999E-16</v>
      </c>
    </row>
    <row r="726" spans="1:5">
      <c r="A726" s="78">
        <v>72.3</v>
      </c>
      <c r="B726" s="67">
        <v>3.14</v>
      </c>
      <c r="C726" s="81">
        <v>4.40649E-16</v>
      </c>
      <c r="D726" s="67">
        <v>3.14</v>
      </c>
      <c r="E726" s="81">
        <v>1.4821099999999999E-16</v>
      </c>
    </row>
    <row r="727" spans="1:5">
      <c r="A727" s="76">
        <v>72.400000000000006</v>
      </c>
      <c r="B727" s="66">
        <v>3.14</v>
      </c>
      <c r="C727" s="80">
        <v>4.40649E-16</v>
      </c>
      <c r="D727" s="66">
        <v>3.14</v>
      </c>
      <c r="E727" s="80">
        <v>1.56665E-16</v>
      </c>
    </row>
    <row r="728" spans="1:5">
      <c r="A728" s="78">
        <v>72.5</v>
      </c>
      <c r="B728" s="67">
        <v>3.14</v>
      </c>
      <c r="C728" s="81">
        <v>4.40649E-16</v>
      </c>
      <c r="D728" s="67">
        <v>3.14</v>
      </c>
      <c r="E728" s="81">
        <v>1.64313E-16</v>
      </c>
    </row>
    <row r="729" spans="1:5">
      <c r="A729" s="76">
        <v>72.599999999999994</v>
      </c>
      <c r="B729" s="66">
        <v>3.14</v>
      </c>
      <c r="C729" s="80">
        <v>4.40649E-16</v>
      </c>
      <c r="D729" s="66">
        <v>3.14</v>
      </c>
      <c r="E729" s="80">
        <v>1.7123E-16</v>
      </c>
    </row>
    <row r="730" spans="1:5">
      <c r="A730" s="78">
        <v>72.7</v>
      </c>
      <c r="B730" s="67">
        <v>3.14</v>
      </c>
      <c r="C730" s="81">
        <v>4.40649E-16</v>
      </c>
      <c r="D730" s="67">
        <v>3.14</v>
      </c>
      <c r="E730" s="81">
        <v>1.7748799999999999E-16</v>
      </c>
    </row>
    <row r="731" spans="1:5">
      <c r="A731" s="76">
        <v>72.8</v>
      </c>
      <c r="B731" s="66">
        <v>3.14</v>
      </c>
      <c r="C731" s="80">
        <v>4.40649E-16</v>
      </c>
      <c r="D731" s="66">
        <v>3.14</v>
      </c>
      <c r="E731" s="80">
        <v>1.8314900000000001E-16</v>
      </c>
    </row>
    <row r="732" spans="1:5">
      <c r="A732" s="78">
        <v>72.900000000000006</v>
      </c>
      <c r="B732" s="67">
        <v>3.14</v>
      </c>
      <c r="C732" s="81">
        <v>4.40649E-16</v>
      </c>
      <c r="D732" s="67">
        <v>3.14</v>
      </c>
      <c r="E732" s="81">
        <v>1.8826900000000001E-16</v>
      </c>
    </row>
    <row r="733" spans="1:5">
      <c r="A733" s="76">
        <v>73</v>
      </c>
      <c r="B733" s="66">
        <v>3.14</v>
      </c>
      <c r="C733" s="80">
        <v>4.40649E-16</v>
      </c>
      <c r="D733" s="66">
        <v>3.14</v>
      </c>
      <c r="E733" s="80">
        <v>1.9290100000000001E-16</v>
      </c>
    </row>
    <row r="734" spans="1:5">
      <c r="A734" s="78">
        <v>73.099999999999994</v>
      </c>
      <c r="B734" s="67">
        <v>3.14</v>
      </c>
      <c r="C734" s="81">
        <v>4.40649E-16</v>
      </c>
      <c r="D734" s="67">
        <v>3.14</v>
      </c>
      <c r="E734" s="81">
        <v>1.9709100000000001E-16</v>
      </c>
    </row>
    <row r="735" spans="1:5">
      <c r="A735" s="76">
        <v>73.2</v>
      </c>
      <c r="B735" s="66">
        <v>3.14</v>
      </c>
      <c r="C735" s="80">
        <v>4.40649E-16</v>
      </c>
      <c r="D735" s="66">
        <v>3.14</v>
      </c>
      <c r="E735" s="80">
        <v>2.0088099999999999E-16</v>
      </c>
    </row>
    <row r="736" spans="1:5">
      <c r="A736" s="78">
        <v>73.3</v>
      </c>
      <c r="B736" s="67">
        <v>3.14</v>
      </c>
      <c r="C736" s="81">
        <v>4.40649E-16</v>
      </c>
      <c r="D736" s="67">
        <v>3.14</v>
      </c>
      <c r="E736" s="81">
        <v>2.0430899999999999E-16</v>
      </c>
    </row>
    <row r="737" spans="1:5">
      <c r="A737" s="76">
        <v>73.400000000000006</v>
      </c>
      <c r="B737" s="66">
        <v>3.14</v>
      </c>
      <c r="C737" s="80">
        <v>4.40649E-16</v>
      </c>
      <c r="D737" s="66">
        <v>3.14</v>
      </c>
      <c r="E737" s="80">
        <v>2.0741099999999999E-16</v>
      </c>
    </row>
    <row r="738" spans="1:5">
      <c r="A738" s="78">
        <v>73.5</v>
      </c>
      <c r="B738" s="67">
        <v>3.14</v>
      </c>
      <c r="C738" s="81">
        <v>4.40649E-16</v>
      </c>
      <c r="D738" s="67">
        <v>3.14</v>
      </c>
      <c r="E738" s="81">
        <v>2.10216E-16</v>
      </c>
    </row>
    <row r="739" spans="1:5">
      <c r="A739" s="76">
        <v>73.599999999999994</v>
      </c>
      <c r="B739" s="66">
        <v>3.14</v>
      </c>
      <c r="C739" s="80">
        <v>4.40649E-16</v>
      </c>
      <c r="D739" s="66">
        <v>3.14</v>
      </c>
      <c r="E739" s="80">
        <v>2.12754E-16</v>
      </c>
    </row>
    <row r="740" spans="1:5">
      <c r="A740" s="78">
        <v>73.7</v>
      </c>
      <c r="B740" s="67">
        <v>3.14</v>
      </c>
      <c r="C740" s="81">
        <v>4.40649E-16</v>
      </c>
      <c r="D740" s="67">
        <v>3.14</v>
      </c>
      <c r="E740" s="81">
        <v>2.15049E-16</v>
      </c>
    </row>
    <row r="741" spans="1:5">
      <c r="A741" s="76">
        <v>73.8</v>
      </c>
      <c r="B741" s="66">
        <v>3.14</v>
      </c>
      <c r="C741" s="80">
        <v>4.40649E-16</v>
      </c>
      <c r="D741" s="66">
        <v>3.14</v>
      </c>
      <c r="E741" s="80">
        <v>2.17126E-16</v>
      </c>
    </row>
    <row r="742" spans="1:5">
      <c r="A742" s="78">
        <v>73.900000000000006</v>
      </c>
      <c r="B742" s="67">
        <v>3.14</v>
      </c>
      <c r="C742" s="81">
        <v>4.40649E-16</v>
      </c>
      <c r="D742" s="67">
        <v>3.14</v>
      </c>
      <c r="E742" s="81">
        <v>2.19004E-16</v>
      </c>
    </row>
    <row r="743" spans="1:5">
      <c r="A743" s="76">
        <v>74</v>
      </c>
      <c r="B743" s="66">
        <v>3.14</v>
      </c>
      <c r="C743" s="80">
        <v>4.40649E-16</v>
      </c>
      <c r="D743" s="66">
        <v>3.14</v>
      </c>
      <c r="E743" s="80">
        <v>2.2070299999999999E-16</v>
      </c>
    </row>
    <row r="744" spans="1:5">
      <c r="A744" s="78">
        <v>74.099999999999994</v>
      </c>
      <c r="B744" s="67">
        <v>3.14</v>
      </c>
      <c r="C744" s="81">
        <v>4.40649E-16</v>
      </c>
      <c r="D744" s="67">
        <v>3.14</v>
      </c>
      <c r="E744" s="81">
        <v>2.2223999999999999E-16</v>
      </c>
    </row>
    <row r="745" spans="1:5">
      <c r="A745" s="76">
        <v>74.2</v>
      </c>
      <c r="B745" s="66">
        <v>3.14</v>
      </c>
      <c r="C745" s="80">
        <v>4.40649E-16</v>
      </c>
      <c r="D745" s="66">
        <v>3.14</v>
      </c>
      <c r="E745" s="80">
        <v>2.2363100000000001E-16</v>
      </c>
    </row>
    <row r="746" spans="1:5">
      <c r="A746" s="78">
        <v>74.3</v>
      </c>
      <c r="B746" s="67">
        <v>3.14</v>
      </c>
      <c r="C746" s="81">
        <v>4.40649E-16</v>
      </c>
      <c r="D746" s="67">
        <v>3.14</v>
      </c>
      <c r="E746" s="81">
        <v>2.2488800000000001E-16</v>
      </c>
    </row>
    <row r="747" spans="1:5">
      <c r="A747" s="76">
        <v>74.400000000000006</v>
      </c>
      <c r="B747" s="66">
        <v>3.14</v>
      </c>
      <c r="C747" s="80">
        <v>4.40649E-16</v>
      </c>
      <c r="D747" s="66">
        <v>3.14</v>
      </c>
      <c r="E747" s="80">
        <v>2.2602599999999998E-16</v>
      </c>
    </row>
    <row r="748" spans="1:5">
      <c r="A748" s="78">
        <v>74.5</v>
      </c>
      <c r="B748" s="67">
        <v>3.14</v>
      </c>
      <c r="C748" s="81">
        <v>4.40649E-16</v>
      </c>
      <c r="D748" s="67">
        <v>3.14</v>
      </c>
      <c r="E748" s="81">
        <v>2.27055E-16</v>
      </c>
    </row>
    <row r="749" spans="1:5">
      <c r="A749" s="76">
        <v>74.599999999999994</v>
      </c>
      <c r="B749" s="66">
        <v>3.14</v>
      </c>
      <c r="C749" s="80">
        <v>4.40649E-16</v>
      </c>
      <c r="D749" s="66">
        <v>3.14</v>
      </c>
      <c r="E749" s="80">
        <v>2.2798600000000001E-16</v>
      </c>
    </row>
    <row r="750" spans="1:5">
      <c r="A750" s="78">
        <v>74.7</v>
      </c>
      <c r="B750" s="67">
        <v>3.14</v>
      </c>
      <c r="C750" s="81">
        <v>4.40649E-16</v>
      </c>
      <c r="D750" s="67">
        <v>3.14</v>
      </c>
      <c r="E750" s="81">
        <v>2.2882799999999998E-16</v>
      </c>
    </row>
    <row r="751" spans="1:5">
      <c r="A751" s="76">
        <v>74.8</v>
      </c>
      <c r="B751" s="66">
        <v>3.14</v>
      </c>
      <c r="C751" s="80">
        <v>4.40649E-16</v>
      </c>
      <c r="D751" s="66">
        <v>3.14</v>
      </c>
      <c r="E751" s="80">
        <v>2.2959E-16</v>
      </c>
    </row>
    <row r="752" spans="1:5">
      <c r="A752" s="78">
        <v>74.900000000000006</v>
      </c>
      <c r="B752" s="67">
        <v>3.14</v>
      </c>
      <c r="C752" s="81">
        <v>4.40649E-16</v>
      </c>
      <c r="D752" s="67">
        <v>3.14</v>
      </c>
      <c r="E752" s="81">
        <v>2.30279E-16</v>
      </c>
    </row>
    <row r="753" spans="1:5">
      <c r="A753" s="76">
        <v>75</v>
      </c>
      <c r="B753" s="66">
        <v>3.14</v>
      </c>
      <c r="C753" s="80">
        <v>4.40649E-16</v>
      </c>
      <c r="D753" s="66">
        <v>3.14</v>
      </c>
      <c r="E753" s="80">
        <v>2.30902E-16</v>
      </c>
    </row>
    <row r="754" spans="1:5">
      <c r="A754" s="78">
        <v>75.099999999999994</v>
      </c>
      <c r="B754" s="67">
        <v>3.14</v>
      </c>
      <c r="C754" s="81">
        <v>4.40649E-16</v>
      </c>
      <c r="D754" s="67">
        <v>3.14</v>
      </c>
      <c r="E754" s="81">
        <v>2.3146600000000002E-16</v>
      </c>
    </row>
    <row r="755" spans="1:5">
      <c r="A755" s="76">
        <v>75.2</v>
      </c>
      <c r="B755" s="66">
        <v>3.14</v>
      </c>
      <c r="C755" s="80">
        <v>4.40649E-16</v>
      </c>
      <c r="D755" s="66">
        <v>3.14</v>
      </c>
      <c r="E755" s="80">
        <v>2.3197600000000001E-16</v>
      </c>
    </row>
    <row r="756" spans="1:5">
      <c r="A756" s="78">
        <v>75.3</v>
      </c>
      <c r="B756" s="67">
        <v>3.14</v>
      </c>
      <c r="C756" s="81">
        <v>4.40649E-16</v>
      </c>
      <c r="D756" s="67">
        <v>3.14</v>
      </c>
      <c r="E756" s="81">
        <v>2.32438E-16</v>
      </c>
    </row>
    <row r="757" spans="1:5">
      <c r="A757" s="76">
        <v>75.400000000000006</v>
      </c>
      <c r="B757" s="66">
        <v>3.14</v>
      </c>
      <c r="C757" s="80">
        <v>4.40649E-16</v>
      </c>
      <c r="D757" s="66">
        <v>3.14</v>
      </c>
      <c r="E757" s="80">
        <v>2.3285500000000001E-16</v>
      </c>
    </row>
    <row r="758" spans="1:5">
      <c r="A758" s="78">
        <v>75.5</v>
      </c>
      <c r="B758" s="67">
        <v>3.14</v>
      </c>
      <c r="C758" s="81">
        <v>4.40649E-16</v>
      </c>
      <c r="D758" s="67">
        <v>3.14</v>
      </c>
      <c r="E758" s="81">
        <v>2.33233E-16</v>
      </c>
    </row>
    <row r="759" spans="1:5">
      <c r="A759" s="76">
        <v>75.599999999999994</v>
      </c>
      <c r="B759" s="66">
        <v>3.14</v>
      </c>
      <c r="C759" s="80">
        <v>4.40649E-16</v>
      </c>
      <c r="D759" s="66">
        <v>3.14</v>
      </c>
      <c r="E759" s="80">
        <v>2.3357399999999999E-16</v>
      </c>
    </row>
    <row r="760" spans="1:5">
      <c r="A760" s="78">
        <v>75.7</v>
      </c>
      <c r="B760" s="67">
        <v>3.14</v>
      </c>
      <c r="C760" s="81">
        <v>4.40649E-16</v>
      </c>
      <c r="D760" s="67">
        <v>3.14</v>
      </c>
      <c r="E760" s="81">
        <v>2.3388300000000002E-16</v>
      </c>
    </row>
    <row r="761" spans="1:5">
      <c r="A761" s="76">
        <v>75.8</v>
      </c>
      <c r="B761" s="66">
        <v>3.14</v>
      </c>
      <c r="C761" s="80">
        <v>4.40649E-16</v>
      </c>
      <c r="D761" s="66">
        <v>3.14</v>
      </c>
      <c r="E761" s="80">
        <v>2.3416199999999998E-16</v>
      </c>
    </row>
    <row r="762" spans="1:5">
      <c r="A762" s="78">
        <v>75.900000000000006</v>
      </c>
      <c r="B762" s="67">
        <v>3.14</v>
      </c>
      <c r="C762" s="81">
        <v>4.40649E-16</v>
      </c>
      <c r="D762" s="67">
        <v>3.14</v>
      </c>
      <c r="E762" s="81">
        <v>2.3441499999999998E-16</v>
      </c>
    </row>
    <row r="763" spans="1:5">
      <c r="A763" s="76">
        <v>76</v>
      </c>
      <c r="B763" s="66">
        <v>3.14</v>
      </c>
      <c r="C763" s="80">
        <v>4.40649E-16</v>
      </c>
      <c r="D763" s="66">
        <v>3.14</v>
      </c>
      <c r="E763" s="80">
        <v>2.3464400000000002E-16</v>
      </c>
    </row>
    <row r="764" spans="1:5">
      <c r="A764" s="78">
        <v>76.099999999999994</v>
      </c>
      <c r="B764" s="67">
        <v>3.14</v>
      </c>
      <c r="C764" s="81">
        <v>4.40649E-16</v>
      </c>
      <c r="D764" s="67">
        <v>3.14</v>
      </c>
      <c r="E764" s="81">
        <v>2.3485099999999998E-16</v>
      </c>
    </row>
    <row r="765" spans="1:5">
      <c r="A765" s="76">
        <v>76.2</v>
      </c>
      <c r="B765" s="66">
        <v>3.14</v>
      </c>
      <c r="C765" s="80">
        <v>4.40649E-16</v>
      </c>
      <c r="D765" s="66">
        <v>3.14</v>
      </c>
      <c r="E765" s="80">
        <v>2.3503799999999998E-16</v>
      </c>
    </row>
    <row r="766" spans="1:5">
      <c r="A766" s="78">
        <v>76.3</v>
      </c>
      <c r="B766" s="67">
        <v>3.14</v>
      </c>
      <c r="C766" s="81">
        <v>4.40649E-16</v>
      </c>
      <c r="D766" s="67">
        <v>3.14</v>
      </c>
      <c r="E766" s="81">
        <v>2.3520699999999998E-16</v>
      </c>
    </row>
    <row r="767" spans="1:5">
      <c r="A767" s="76">
        <v>76.400000000000006</v>
      </c>
      <c r="B767" s="66">
        <v>3.14</v>
      </c>
      <c r="C767" s="80">
        <v>4.40649E-16</v>
      </c>
      <c r="D767" s="66">
        <v>3.14</v>
      </c>
      <c r="E767" s="80">
        <v>2.3535999999999999E-16</v>
      </c>
    </row>
    <row r="768" spans="1:5">
      <c r="A768" s="78">
        <v>76.5</v>
      </c>
      <c r="B768" s="67">
        <v>3.14</v>
      </c>
      <c r="C768" s="81">
        <v>4.40649E-16</v>
      </c>
      <c r="D768" s="67">
        <v>3.14</v>
      </c>
      <c r="E768" s="81">
        <v>2.3549900000000001E-16</v>
      </c>
    </row>
    <row r="769" spans="1:5">
      <c r="A769" s="76">
        <v>76.599999999999994</v>
      </c>
      <c r="B769" s="66">
        <v>3.14</v>
      </c>
      <c r="C769" s="80">
        <v>4.40649E-16</v>
      </c>
      <c r="D769" s="66">
        <v>3.14</v>
      </c>
      <c r="E769" s="80">
        <v>2.3562399999999999E-16</v>
      </c>
    </row>
    <row r="770" spans="1:5">
      <c r="A770" s="78">
        <v>76.7</v>
      </c>
      <c r="B770" s="67">
        <v>3.14</v>
      </c>
      <c r="C770" s="81">
        <v>4.40649E-16</v>
      </c>
      <c r="D770" s="67">
        <v>3.14</v>
      </c>
      <c r="E770" s="81">
        <v>2.3573700000000001E-16</v>
      </c>
    </row>
    <row r="771" spans="1:5">
      <c r="A771" s="76">
        <v>76.8</v>
      </c>
      <c r="B771" s="66">
        <v>3.14</v>
      </c>
      <c r="C771" s="80">
        <v>4.40649E-16</v>
      </c>
      <c r="D771" s="66">
        <v>3.14</v>
      </c>
      <c r="E771" s="80">
        <v>2.3584E-16</v>
      </c>
    </row>
    <row r="772" spans="1:5">
      <c r="A772" s="78">
        <v>76.900000000000006</v>
      </c>
      <c r="B772" s="67">
        <v>3.14</v>
      </c>
      <c r="C772" s="81">
        <v>4.40649E-16</v>
      </c>
      <c r="D772" s="67">
        <v>3.14</v>
      </c>
      <c r="E772" s="81">
        <v>2.35932E-16</v>
      </c>
    </row>
    <row r="773" spans="1:5">
      <c r="A773" s="76">
        <v>77</v>
      </c>
      <c r="B773" s="66">
        <v>3.14</v>
      </c>
      <c r="C773" s="80">
        <v>4.40649E-16</v>
      </c>
      <c r="D773" s="66">
        <v>3.14</v>
      </c>
      <c r="E773" s="80">
        <v>2.3601600000000002E-16</v>
      </c>
    </row>
    <row r="774" spans="1:5">
      <c r="A774" s="78">
        <v>77.099999999999994</v>
      </c>
      <c r="B774" s="67">
        <v>3.14</v>
      </c>
      <c r="C774" s="81">
        <v>4.40649E-16</v>
      </c>
      <c r="D774" s="67">
        <v>3.14</v>
      </c>
      <c r="E774" s="81">
        <v>2.3609199999999999E-16</v>
      </c>
    </row>
    <row r="775" spans="1:5">
      <c r="A775" s="76">
        <v>77.2</v>
      </c>
      <c r="B775" s="66">
        <v>3.14</v>
      </c>
      <c r="C775" s="80">
        <v>4.40649E-16</v>
      </c>
      <c r="D775" s="66">
        <v>3.14</v>
      </c>
      <c r="E775" s="80">
        <v>2.3616099999999999E-16</v>
      </c>
    </row>
    <row r="776" spans="1:5">
      <c r="A776" s="78">
        <v>77.3</v>
      </c>
      <c r="B776" s="67">
        <v>3.14</v>
      </c>
      <c r="C776" s="81">
        <v>4.40649E-16</v>
      </c>
      <c r="D776" s="67">
        <v>3.14</v>
      </c>
      <c r="E776" s="81">
        <v>2.3622300000000002E-16</v>
      </c>
    </row>
    <row r="777" spans="1:5">
      <c r="A777" s="76">
        <v>77.400000000000006</v>
      </c>
      <c r="B777" s="66">
        <v>3.14</v>
      </c>
      <c r="C777" s="80">
        <v>4.40649E-16</v>
      </c>
      <c r="D777" s="66">
        <v>3.14</v>
      </c>
      <c r="E777" s="80">
        <v>2.36279E-16</v>
      </c>
    </row>
    <row r="778" spans="1:5">
      <c r="A778" s="78">
        <v>77.5</v>
      </c>
      <c r="B778" s="67">
        <v>3.14</v>
      </c>
      <c r="C778" s="81">
        <v>4.40649E-16</v>
      </c>
      <c r="D778" s="67">
        <v>3.14</v>
      </c>
      <c r="E778" s="81">
        <v>2.3632999999999999E-16</v>
      </c>
    </row>
    <row r="779" spans="1:5">
      <c r="A779" s="76">
        <v>77.599999999999994</v>
      </c>
      <c r="B779" s="66">
        <v>3.14</v>
      </c>
      <c r="C779" s="80">
        <v>4.40649E-16</v>
      </c>
      <c r="D779" s="66">
        <v>3.14</v>
      </c>
      <c r="E779" s="80">
        <v>2.3637599999999999E-16</v>
      </c>
    </row>
    <row r="780" spans="1:5">
      <c r="A780" s="78">
        <v>77.7</v>
      </c>
      <c r="B780" s="67">
        <v>3.14</v>
      </c>
      <c r="C780" s="81">
        <v>4.40649E-16</v>
      </c>
      <c r="D780" s="67">
        <v>3.14</v>
      </c>
      <c r="E780" s="81">
        <v>2.36417E-16</v>
      </c>
    </row>
    <row r="781" spans="1:5">
      <c r="A781" s="76">
        <v>77.8</v>
      </c>
      <c r="B781" s="66">
        <v>3.14</v>
      </c>
      <c r="C781" s="80">
        <v>4.40649E-16</v>
      </c>
      <c r="D781" s="66">
        <v>3.14</v>
      </c>
      <c r="E781" s="80">
        <v>2.3645500000000001E-16</v>
      </c>
    </row>
    <row r="782" spans="1:5">
      <c r="A782" s="78">
        <v>77.900000000000006</v>
      </c>
      <c r="B782" s="67">
        <v>3.14</v>
      </c>
      <c r="C782" s="81">
        <v>4.40649E-16</v>
      </c>
      <c r="D782" s="67">
        <v>3.14</v>
      </c>
      <c r="E782" s="81">
        <v>2.3648900000000001E-16</v>
      </c>
    </row>
    <row r="783" spans="1:5">
      <c r="A783" s="76">
        <v>78</v>
      </c>
      <c r="B783" s="66">
        <v>3.14</v>
      </c>
      <c r="C783" s="80">
        <v>4.40649E-16</v>
      </c>
      <c r="D783" s="66">
        <v>3.14</v>
      </c>
      <c r="E783" s="80">
        <v>2.3652E-16</v>
      </c>
    </row>
    <row r="784" spans="1:5">
      <c r="A784" s="78">
        <v>78.099999999999994</v>
      </c>
      <c r="B784" s="67">
        <v>3.14</v>
      </c>
      <c r="C784" s="81">
        <v>4.40649E-16</v>
      </c>
      <c r="D784" s="67">
        <v>3.14</v>
      </c>
      <c r="E784" s="81">
        <v>2.3654799999999998E-16</v>
      </c>
    </row>
    <row r="785" spans="1:5">
      <c r="A785" s="76">
        <v>78.2</v>
      </c>
      <c r="B785" s="66">
        <v>3.14</v>
      </c>
      <c r="C785" s="80">
        <v>4.40649E-16</v>
      </c>
      <c r="D785" s="66">
        <v>3.14</v>
      </c>
      <c r="E785" s="80">
        <v>2.3657300000000002E-16</v>
      </c>
    </row>
    <row r="786" spans="1:5">
      <c r="A786" s="78">
        <v>78.3</v>
      </c>
      <c r="B786" s="67">
        <v>3.14</v>
      </c>
      <c r="C786" s="81">
        <v>4.40649E-16</v>
      </c>
      <c r="D786" s="67">
        <v>3.14</v>
      </c>
      <c r="E786" s="81">
        <v>2.3659600000000002E-16</v>
      </c>
    </row>
    <row r="787" spans="1:5">
      <c r="A787" s="76">
        <v>78.400000000000006</v>
      </c>
      <c r="B787" s="66">
        <v>3.14</v>
      </c>
      <c r="C787" s="80">
        <v>4.40649E-16</v>
      </c>
      <c r="D787" s="66">
        <v>3.14</v>
      </c>
      <c r="E787" s="80">
        <v>2.3661600000000002E-16</v>
      </c>
    </row>
    <row r="788" spans="1:5">
      <c r="A788" s="78">
        <v>78.5</v>
      </c>
      <c r="B788" s="67">
        <v>3.14</v>
      </c>
      <c r="C788" s="81">
        <v>4.40649E-16</v>
      </c>
      <c r="D788" s="67">
        <v>3.14</v>
      </c>
      <c r="E788" s="81">
        <v>2.36635E-16</v>
      </c>
    </row>
    <row r="789" spans="1:5">
      <c r="A789" s="76">
        <v>78.599999999999994</v>
      </c>
      <c r="B789" s="66">
        <v>3.14</v>
      </c>
      <c r="C789" s="80">
        <v>4.40649E-16</v>
      </c>
      <c r="D789" s="66">
        <v>3.14</v>
      </c>
      <c r="E789" s="80">
        <v>2.3665199999999999E-16</v>
      </c>
    </row>
    <row r="790" spans="1:5">
      <c r="A790" s="78">
        <v>78.7</v>
      </c>
      <c r="B790" s="67">
        <v>3.14</v>
      </c>
      <c r="C790" s="81">
        <v>4.40649E-16</v>
      </c>
      <c r="D790" s="67">
        <v>3.14</v>
      </c>
      <c r="E790" s="81">
        <v>2.3666700000000001E-16</v>
      </c>
    </row>
    <row r="791" spans="1:5">
      <c r="A791" s="76">
        <v>78.8</v>
      </c>
      <c r="B791" s="66">
        <v>3.14</v>
      </c>
      <c r="C791" s="80">
        <v>4.40649E-16</v>
      </c>
      <c r="D791" s="66">
        <v>3.14</v>
      </c>
      <c r="E791" s="80">
        <v>2.36681E-16</v>
      </c>
    </row>
    <row r="792" spans="1:5">
      <c r="A792" s="78">
        <v>78.900000000000006</v>
      </c>
      <c r="B792" s="67">
        <v>3.14</v>
      </c>
      <c r="C792" s="81">
        <v>4.40649E-16</v>
      </c>
      <c r="D792" s="67">
        <v>3.14</v>
      </c>
      <c r="E792" s="81">
        <v>2.3669300000000001E-16</v>
      </c>
    </row>
    <row r="793" spans="1:5">
      <c r="A793" s="76">
        <v>79</v>
      </c>
      <c r="B793" s="66">
        <v>3.14</v>
      </c>
      <c r="C793" s="80">
        <v>4.40649E-16</v>
      </c>
      <c r="D793" s="66">
        <v>3.14</v>
      </c>
      <c r="E793" s="80">
        <v>2.3670500000000002E-16</v>
      </c>
    </row>
    <row r="794" spans="1:5">
      <c r="A794" s="78">
        <v>79.099999999999994</v>
      </c>
      <c r="B794" s="67">
        <v>3.14</v>
      </c>
      <c r="C794" s="81">
        <v>4.40649E-16</v>
      </c>
      <c r="D794" s="67">
        <v>3.14</v>
      </c>
      <c r="E794" s="81">
        <v>2.3671499999999999E-16</v>
      </c>
    </row>
    <row r="795" spans="1:5">
      <c r="A795" s="76">
        <v>79.2</v>
      </c>
      <c r="B795" s="66">
        <v>3.14</v>
      </c>
      <c r="C795" s="80">
        <v>4.40649E-16</v>
      </c>
      <c r="D795" s="66">
        <v>3.14</v>
      </c>
      <c r="E795" s="80">
        <v>2.36724E-16</v>
      </c>
    </row>
    <row r="796" spans="1:5">
      <c r="A796" s="78">
        <v>79.3</v>
      </c>
      <c r="B796" s="67">
        <v>3.14</v>
      </c>
      <c r="C796" s="81">
        <v>4.40649E-16</v>
      </c>
      <c r="D796" s="67">
        <v>3.14</v>
      </c>
      <c r="E796" s="81">
        <v>2.3673199999999999E-16</v>
      </c>
    </row>
    <row r="797" spans="1:5">
      <c r="A797" s="76">
        <v>79.400000000000006</v>
      </c>
      <c r="B797" s="66">
        <v>3.14</v>
      </c>
      <c r="C797" s="80">
        <v>4.40649E-16</v>
      </c>
      <c r="D797" s="66">
        <v>3.14</v>
      </c>
      <c r="E797" s="80">
        <v>2.3673999999999998E-16</v>
      </c>
    </row>
    <row r="798" spans="1:5">
      <c r="A798" s="78">
        <v>79.5</v>
      </c>
      <c r="B798" s="67">
        <v>3.14</v>
      </c>
      <c r="C798" s="81">
        <v>4.40649E-16</v>
      </c>
      <c r="D798" s="67">
        <v>3.14</v>
      </c>
      <c r="E798" s="81">
        <v>2.36747E-16</v>
      </c>
    </row>
    <row r="799" spans="1:5">
      <c r="A799" s="76">
        <v>79.599999999999994</v>
      </c>
      <c r="B799" s="66">
        <v>3.14</v>
      </c>
      <c r="C799" s="80">
        <v>4.40649E-16</v>
      </c>
      <c r="D799" s="66">
        <v>3.14</v>
      </c>
      <c r="E799" s="80">
        <v>2.36753E-16</v>
      </c>
    </row>
    <row r="800" spans="1:5">
      <c r="A800" s="78">
        <v>79.7</v>
      </c>
      <c r="B800" s="67">
        <v>3.14</v>
      </c>
      <c r="C800" s="81">
        <v>4.40649E-16</v>
      </c>
      <c r="D800" s="67">
        <v>3.14</v>
      </c>
      <c r="E800" s="81">
        <v>2.3675900000000001E-16</v>
      </c>
    </row>
    <row r="801" spans="1:5">
      <c r="A801" s="76">
        <v>79.8</v>
      </c>
      <c r="B801" s="66">
        <v>3.14</v>
      </c>
      <c r="C801" s="80">
        <v>4.40649E-16</v>
      </c>
      <c r="D801" s="66">
        <v>3.14</v>
      </c>
      <c r="E801" s="80">
        <v>2.36764E-16</v>
      </c>
    </row>
    <row r="802" spans="1:5">
      <c r="A802" s="78">
        <v>79.900000000000006</v>
      </c>
      <c r="B802" s="67">
        <v>3.14</v>
      </c>
      <c r="C802" s="81">
        <v>4.40649E-16</v>
      </c>
      <c r="D802" s="67">
        <v>3.14</v>
      </c>
      <c r="E802" s="81">
        <v>2.3676800000000001E-16</v>
      </c>
    </row>
    <row r="803" spans="1:5">
      <c r="A803" s="76">
        <v>80</v>
      </c>
      <c r="B803" s="66">
        <v>3.14</v>
      </c>
      <c r="C803" s="80">
        <v>4.40649E-16</v>
      </c>
      <c r="D803" s="66">
        <v>3.14</v>
      </c>
      <c r="E803" s="80">
        <v>2.3677199999999998E-16</v>
      </c>
    </row>
    <row r="804" spans="1:5">
      <c r="A804" s="78">
        <v>80.099999999999994</v>
      </c>
      <c r="B804" s="67">
        <v>3.14</v>
      </c>
      <c r="C804" s="81">
        <v>4.40649E-16</v>
      </c>
      <c r="D804" s="67">
        <v>3.14</v>
      </c>
      <c r="E804" s="81">
        <v>2.36776E-16</v>
      </c>
    </row>
    <row r="805" spans="1:5">
      <c r="A805" s="76">
        <v>80.2</v>
      </c>
      <c r="B805" s="66">
        <v>3.14</v>
      </c>
      <c r="C805" s="80">
        <v>4.40649E-16</v>
      </c>
      <c r="D805" s="66">
        <v>3.14</v>
      </c>
      <c r="E805" s="80">
        <v>2.3677900000000001E-16</v>
      </c>
    </row>
    <row r="806" spans="1:5">
      <c r="A806" s="78">
        <v>80.3</v>
      </c>
      <c r="B806" s="67">
        <v>3.14</v>
      </c>
      <c r="C806" s="81">
        <v>4.40649E-16</v>
      </c>
      <c r="D806" s="67">
        <v>3.14</v>
      </c>
      <c r="E806" s="81">
        <v>2.3678200000000001E-16</v>
      </c>
    </row>
    <row r="807" spans="1:5">
      <c r="A807" s="76">
        <v>80.400000000000006</v>
      </c>
      <c r="B807" s="66">
        <v>3.14</v>
      </c>
      <c r="C807" s="80">
        <v>4.40649E-16</v>
      </c>
      <c r="D807" s="66">
        <v>3.14</v>
      </c>
      <c r="E807" s="80">
        <v>2.3678500000000001E-16</v>
      </c>
    </row>
    <row r="808" spans="1:5">
      <c r="A808" s="78">
        <v>80.5</v>
      </c>
      <c r="B808" s="67">
        <v>3.14</v>
      </c>
      <c r="C808" s="81">
        <v>4.40649E-16</v>
      </c>
      <c r="D808" s="67">
        <v>3.14</v>
      </c>
      <c r="E808" s="81">
        <v>2.3678800000000001E-16</v>
      </c>
    </row>
    <row r="809" spans="1:5">
      <c r="A809" s="76">
        <v>80.599999999999994</v>
      </c>
      <c r="B809" s="66">
        <v>3.14</v>
      </c>
      <c r="C809" s="80">
        <v>4.40649E-16</v>
      </c>
      <c r="D809" s="66">
        <v>3.14</v>
      </c>
      <c r="E809" s="80">
        <v>2.3679E-16</v>
      </c>
    </row>
    <row r="810" spans="1:5">
      <c r="A810" s="78">
        <v>80.7</v>
      </c>
      <c r="B810" s="67">
        <v>3.14</v>
      </c>
      <c r="C810" s="81">
        <v>4.40649E-16</v>
      </c>
      <c r="D810" s="67">
        <v>3.14</v>
      </c>
      <c r="E810" s="81">
        <v>2.3679199999999998E-16</v>
      </c>
    </row>
    <row r="811" spans="1:5">
      <c r="A811" s="76">
        <v>80.8</v>
      </c>
      <c r="B811" s="66">
        <v>3.14</v>
      </c>
      <c r="C811" s="80">
        <v>4.40649E-16</v>
      </c>
      <c r="D811" s="66">
        <v>3.14</v>
      </c>
      <c r="E811" s="80">
        <v>2.3679400000000002E-16</v>
      </c>
    </row>
    <row r="812" spans="1:5">
      <c r="A812" s="78">
        <v>80.900000000000006</v>
      </c>
      <c r="B812" s="67">
        <v>3.14</v>
      </c>
      <c r="C812" s="81">
        <v>4.40649E-16</v>
      </c>
      <c r="D812" s="67">
        <v>3.14</v>
      </c>
      <c r="E812" s="81">
        <v>2.36796E-16</v>
      </c>
    </row>
    <row r="813" spans="1:5">
      <c r="A813" s="76">
        <v>81</v>
      </c>
      <c r="B813" s="66">
        <v>3.14</v>
      </c>
      <c r="C813" s="80">
        <v>4.40649E-16</v>
      </c>
      <c r="D813" s="66">
        <v>3.14</v>
      </c>
      <c r="E813" s="80">
        <v>2.3679700000000002E-16</v>
      </c>
    </row>
    <row r="814" spans="1:5">
      <c r="A814" s="78">
        <v>81.099999999999994</v>
      </c>
      <c r="B814" s="67">
        <v>3.14</v>
      </c>
      <c r="C814" s="81">
        <v>4.40649E-16</v>
      </c>
      <c r="D814" s="67">
        <v>3.14</v>
      </c>
      <c r="E814" s="81">
        <v>2.36799E-16</v>
      </c>
    </row>
    <row r="815" spans="1:5">
      <c r="A815" s="76">
        <v>81.2</v>
      </c>
      <c r="B815" s="66">
        <v>3.14</v>
      </c>
      <c r="C815" s="80">
        <v>4.40649E-16</v>
      </c>
      <c r="D815" s="66">
        <v>3.14</v>
      </c>
      <c r="E815" s="80">
        <v>2.3680000000000002E-16</v>
      </c>
    </row>
    <row r="816" spans="1:5">
      <c r="A816" s="78">
        <v>81.3</v>
      </c>
      <c r="B816" s="67">
        <v>3.14</v>
      </c>
      <c r="C816" s="81">
        <v>4.40649E-16</v>
      </c>
      <c r="D816" s="67">
        <v>3.14</v>
      </c>
      <c r="E816" s="81">
        <v>2.3680099999999999E-16</v>
      </c>
    </row>
    <row r="817" spans="1:5">
      <c r="A817" s="76">
        <v>81.400000000000006</v>
      </c>
      <c r="B817" s="66">
        <v>3.14</v>
      </c>
      <c r="C817" s="80">
        <v>4.40649E-16</v>
      </c>
      <c r="D817" s="66">
        <v>3.14</v>
      </c>
      <c r="E817" s="80">
        <v>2.3680200000000001E-16</v>
      </c>
    </row>
    <row r="818" spans="1:5">
      <c r="A818" s="78">
        <v>81.5</v>
      </c>
      <c r="B818" s="67">
        <v>3.14</v>
      </c>
      <c r="C818" s="81">
        <v>4.40649E-16</v>
      </c>
      <c r="D818" s="67">
        <v>3.14</v>
      </c>
      <c r="E818" s="81">
        <v>2.3680300000000002E-16</v>
      </c>
    </row>
    <row r="819" spans="1:5">
      <c r="A819" s="76">
        <v>81.599999999999994</v>
      </c>
      <c r="B819" s="66">
        <v>3.14</v>
      </c>
      <c r="C819" s="80">
        <v>4.40649E-16</v>
      </c>
      <c r="D819" s="66">
        <v>3.14</v>
      </c>
      <c r="E819" s="80">
        <v>2.3680399999999999E-16</v>
      </c>
    </row>
    <row r="820" spans="1:5">
      <c r="A820" s="78">
        <v>81.7</v>
      </c>
      <c r="B820" s="67">
        <v>3.14</v>
      </c>
      <c r="C820" s="81">
        <v>4.40649E-16</v>
      </c>
      <c r="D820" s="67">
        <v>3.14</v>
      </c>
      <c r="E820" s="81">
        <v>2.3680399999999999E-16</v>
      </c>
    </row>
    <row r="821" spans="1:5">
      <c r="A821" s="76">
        <v>81.8</v>
      </c>
      <c r="B821" s="66">
        <v>3.14</v>
      </c>
      <c r="C821" s="80">
        <v>4.40649E-16</v>
      </c>
      <c r="D821" s="66">
        <v>3.14</v>
      </c>
      <c r="E821" s="80">
        <v>2.3680500000000001E-16</v>
      </c>
    </row>
    <row r="822" spans="1:5">
      <c r="A822" s="78">
        <v>81.900000000000006</v>
      </c>
      <c r="B822" s="67">
        <v>3.14</v>
      </c>
      <c r="C822" s="81">
        <v>4.40649E-16</v>
      </c>
      <c r="D822" s="67">
        <v>3.14</v>
      </c>
      <c r="E822" s="81">
        <v>2.3680599999999998E-16</v>
      </c>
    </row>
    <row r="823" spans="1:5">
      <c r="A823" s="76">
        <v>82</v>
      </c>
      <c r="B823" s="66">
        <v>3.14</v>
      </c>
      <c r="C823" s="80">
        <v>4.40649E-16</v>
      </c>
      <c r="D823" s="66">
        <v>3.14</v>
      </c>
      <c r="E823" s="80">
        <v>2.3680599999999998E-16</v>
      </c>
    </row>
    <row r="824" spans="1:5">
      <c r="A824" s="78">
        <v>82.1</v>
      </c>
      <c r="B824" s="67">
        <v>3.14</v>
      </c>
      <c r="C824" s="81">
        <v>4.40649E-16</v>
      </c>
      <c r="D824" s="67">
        <v>3.14</v>
      </c>
      <c r="E824" s="81">
        <v>2.3680699999999999E-16</v>
      </c>
    </row>
    <row r="825" spans="1:5">
      <c r="A825" s="76">
        <v>82.2</v>
      </c>
      <c r="B825" s="66">
        <v>3.14</v>
      </c>
      <c r="C825" s="80">
        <v>4.40649E-16</v>
      </c>
      <c r="D825" s="66">
        <v>3.14</v>
      </c>
      <c r="E825" s="80">
        <v>2.3680699999999999E-16</v>
      </c>
    </row>
    <row r="826" spans="1:5">
      <c r="A826" s="78">
        <v>82.3</v>
      </c>
      <c r="B826" s="67">
        <v>3.14</v>
      </c>
      <c r="C826" s="81">
        <v>4.40649E-16</v>
      </c>
      <c r="D826" s="67">
        <v>3.14</v>
      </c>
      <c r="E826" s="81">
        <v>2.3680800000000001E-16</v>
      </c>
    </row>
    <row r="827" spans="1:5">
      <c r="A827" s="76">
        <v>82.4</v>
      </c>
      <c r="B827" s="66">
        <v>3.14</v>
      </c>
      <c r="C827" s="80">
        <v>4.40649E-16</v>
      </c>
      <c r="D827" s="66">
        <v>3.14</v>
      </c>
      <c r="E827" s="80">
        <v>2.3680800000000001E-16</v>
      </c>
    </row>
    <row r="828" spans="1:5">
      <c r="A828" s="78">
        <v>82.5</v>
      </c>
      <c r="B828" s="67">
        <v>3.14</v>
      </c>
      <c r="C828" s="81">
        <v>4.40649E-16</v>
      </c>
      <c r="D828" s="67">
        <v>3.14</v>
      </c>
      <c r="E828" s="81">
        <v>2.3680800000000001E-16</v>
      </c>
    </row>
    <row r="829" spans="1:5">
      <c r="A829" s="76">
        <v>82.6</v>
      </c>
      <c r="B829" s="66">
        <v>3.14</v>
      </c>
      <c r="C829" s="80">
        <v>4.40649E-16</v>
      </c>
      <c r="D829" s="66">
        <v>3.14</v>
      </c>
      <c r="E829" s="80">
        <v>2.3680899999999998E-16</v>
      </c>
    </row>
    <row r="830" spans="1:5">
      <c r="A830" s="78">
        <v>82.7</v>
      </c>
      <c r="B830" s="67">
        <v>3.14</v>
      </c>
      <c r="C830" s="81">
        <v>4.40649E-16</v>
      </c>
      <c r="D830" s="67">
        <v>3.14</v>
      </c>
      <c r="E830" s="81">
        <v>2.3680899999999998E-16</v>
      </c>
    </row>
    <row r="831" spans="1:5">
      <c r="A831" s="76">
        <v>82.8</v>
      </c>
      <c r="B831" s="66">
        <v>3.14</v>
      </c>
      <c r="C831" s="80">
        <v>4.40649E-16</v>
      </c>
      <c r="D831" s="66">
        <v>3.14</v>
      </c>
      <c r="E831" s="80">
        <v>2.3680899999999998E-16</v>
      </c>
    </row>
    <row r="832" spans="1:5">
      <c r="A832" s="78">
        <v>82.9</v>
      </c>
      <c r="B832" s="67">
        <v>3.14</v>
      </c>
      <c r="C832" s="81">
        <v>4.40649E-16</v>
      </c>
      <c r="D832" s="67">
        <v>3.14</v>
      </c>
      <c r="E832" s="81">
        <v>2.3680899999999998E-16</v>
      </c>
    </row>
    <row r="833" spans="1:5">
      <c r="A833" s="76">
        <v>83</v>
      </c>
      <c r="B833" s="66">
        <v>3.14</v>
      </c>
      <c r="C833" s="80">
        <v>4.40649E-16</v>
      </c>
      <c r="D833" s="66">
        <v>3.14</v>
      </c>
      <c r="E833" s="80">
        <v>2.3681E-16</v>
      </c>
    </row>
    <row r="834" spans="1:5">
      <c r="A834" s="78">
        <v>83.1</v>
      </c>
      <c r="B834" s="67">
        <v>3.14</v>
      </c>
      <c r="C834" s="81">
        <v>4.40649E-16</v>
      </c>
      <c r="D834" s="67">
        <v>3.14</v>
      </c>
      <c r="E834" s="81">
        <v>2.3681E-16</v>
      </c>
    </row>
    <row r="835" spans="1:5">
      <c r="A835" s="76">
        <v>83.2</v>
      </c>
      <c r="B835" s="66">
        <v>3.14</v>
      </c>
      <c r="C835" s="80">
        <v>4.40649E-16</v>
      </c>
      <c r="D835" s="66">
        <v>3.14</v>
      </c>
      <c r="E835" s="80">
        <v>2.3681E-16</v>
      </c>
    </row>
    <row r="836" spans="1:5">
      <c r="A836" s="78">
        <v>83.3</v>
      </c>
      <c r="B836" s="67">
        <v>3.14</v>
      </c>
      <c r="C836" s="81">
        <v>4.40649E-16</v>
      </c>
      <c r="D836" s="67">
        <v>3.14</v>
      </c>
      <c r="E836" s="81">
        <v>2.3681E-16</v>
      </c>
    </row>
    <row r="837" spans="1:5">
      <c r="A837" s="76">
        <v>83.4</v>
      </c>
      <c r="B837" s="66">
        <v>3.14</v>
      </c>
      <c r="C837" s="80">
        <v>4.40649E-16</v>
      </c>
      <c r="D837" s="66">
        <v>3.14</v>
      </c>
      <c r="E837" s="80">
        <v>2.3681E-16</v>
      </c>
    </row>
    <row r="838" spans="1:5">
      <c r="A838" s="78">
        <v>83.5</v>
      </c>
      <c r="B838" s="67">
        <v>3.14</v>
      </c>
      <c r="C838" s="81">
        <v>4.40649E-16</v>
      </c>
      <c r="D838" s="67">
        <v>3.14</v>
      </c>
      <c r="E838" s="81">
        <v>2.3681E-16</v>
      </c>
    </row>
    <row r="839" spans="1:5">
      <c r="A839" s="76">
        <v>83.6</v>
      </c>
      <c r="B839" s="66">
        <v>3.14</v>
      </c>
      <c r="C839" s="80">
        <v>4.40649E-16</v>
      </c>
      <c r="D839" s="66">
        <v>3.14</v>
      </c>
      <c r="E839" s="80">
        <v>2.3681E-16</v>
      </c>
    </row>
    <row r="840" spans="1:5">
      <c r="A840" s="78">
        <v>83.7</v>
      </c>
      <c r="B840" s="67">
        <v>3.14</v>
      </c>
      <c r="C840" s="81">
        <v>4.40649E-16</v>
      </c>
      <c r="D840" s="67">
        <v>3.14</v>
      </c>
      <c r="E840" s="81">
        <v>2.3681100000000001E-16</v>
      </c>
    </row>
    <row r="841" spans="1:5">
      <c r="A841" s="76">
        <v>83.8</v>
      </c>
      <c r="B841" s="66">
        <v>3.14</v>
      </c>
      <c r="C841" s="80">
        <v>4.40649E-16</v>
      </c>
      <c r="D841" s="66">
        <v>3.14</v>
      </c>
      <c r="E841" s="80">
        <v>2.3681100000000001E-16</v>
      </c>
    </row>
    <row r="842" spans="1:5">
      <c r="A842" s="78">
        <v>83.9</v>
      </c>
      <c r="B842" s="67">
        <v>3.14</v>
      </c>
      <c r="C842" s="81">
        <v>4.40649E-16</v>
      </c>
      <c r="D842" s="67">
        <v>3.14</v>
      </c>
      <c r="E842" s="81">
        <v>2.3681100000000001E-16</v>
      </c>
    </row>
    <row r="843" spans="1:5">
      <c r="A843" s="76">
        <v>84</v>
      </c>
      <c r="B843" s="66">
        <v>3.14</v>
      </c>
      <c r="C843" s="80">
        <v>4.40649E-16</v>
      </c>
      <c r="D843" s="66">
        <v>3.14</v>
      </c>
      <c r="E843" s="80">
        <v>2.3681100000000001E-16</v>
      </c>
    </row>
    <row r="844" spans="1:5">
      <c r="A844" s="78">
        <v>84.1</v>
      </c>
      <c r="B844" s="67">
        <v>3.14</v>
      </c>
      <c r="C844" s="81">
        <v>4.40649E-16</v>
      </c>
      <c r="D844" s="67">
        <v>3.14</v>
      </c>
      <c r="E844" s="81">
        <v>2.3681100000000001E-16</v>
      </c>
    </row>
    <row r="845" spans="1:5">
      <c r="A845" s="76">
        <v>84.2</v>
      </c>
      <c r="B845" s="66">
        <v>3.14</v>
      </c>
      <c r="C845" s="80">
        <v>4.40649E-16</v>
      </c>
      <c r="D845" s="66">
        <v>3.14</v>
      </c>
      <c r="E845" s="80">
        <v>2.3681100000000001E-16</v>
      </c>
    </row>
    <row r="846" spans="1:5">
      <c r="A846" s="78">
        <v>84.3</v>
      </c>
      <c r="B846" s="67">
        <v>3.14</v>
      </c>
      <c r="C846" s="81">
        <v>4.40649E-16</v>
      </c>
      <c r="D846" s="67">
        <v>3.14</v>
      </c>
      <c r="E846" s="81">
        <v>2.3681100000000001E-16</v>
      </c>
    </row>
    <row r="847" spans="1:5">
      <c r="A847" s="76">
        <v>84.4</v>
      </c>
      <c r="B847" s="66">
        <v>3.14</v>
      </c>
      <c r="C847" s="80">
        <v>4.40649E-16</v>
      </c>
      <c r="D847" s="66">
        <v>3.14</v>
      </c>
      <c r="E847" s="80">
        <v>2.3681100000000001E-16</v>
      </c>
    </row>
    <row r="848" spans="1:5">
      <c r="A848" s="78">
        <v>84.5</v>
      </c>
      <c r="B848" s="67">
        <v>3.14</v>
      </c>
      <c r="C848" s="81">
        <v>4.40649E-16</v>
      </c>
      <c r="D848" s="67">
        <v>3.14</v>
      </c>
      <c r="E848" s="81">
        <v>2.3681100000000001E-16</v>
      </c>
    </row>
    <row r="849" spans="1:5">
      <c r="A849" s="76">
        <v>84.6</v>
      </c>
      <c r="B849" s="66">
        <v>3.14</v>
      </c>
      <c r="C849" s="80">
        <v>4.40649E-16</v>
      </c>
      <c r="D849" s="66">
        <v>3.14</v>
      </c>
      <c r="E849" s="80">
        <v>2.3681100000000001E-16</v>
      </c>
    </row>
    <row r="850" spans="1:5">
      <c r="A850" s="78">
        <v>84.7</v>
      </c>
      <c r="B850" s="67">
        <v>3.14</v>
      </c>
      <c r="C850" s="81">
        <v>4.40649E-16</v>
      </c>
      <c r="D850" s="67">
        <v>3.14</v>
      </c>
      <c r="E850" s="81">
        <v>2.3681100000000001E-16</v>
      </c>
    </row>
    <row r="851" spans="1:5">
      <c r="A851" s="76">
        <v>84.8</v>
      </c>
      <c r="B851" s="66">
        <v>3.14</v>
      </c>
      <c r="C851" s="80">
        <v>4.40649E-16</v>
      </c>
      <c r="D851" s="66">
        <v>3.14</v>
      </c>
      <c r="E851" s="80">
        <v>2.3681100000000001E-16</v>
      </c>
    </row>
    <row r="852" spans="1:5">
      <c r="A852" s="78">
        <v>84.9</v>
      </c>
      <c r="B852" s="67">
        <v>3.14</v>
      </c>
      <c r="C852" s="81">
        <v>4.40649E-16</v>
      </c>
      <c r="D852" s="67">
        <v>3.14</v>
      </c>
      <c r="E852" s="81">
        <v>2.3681100000000001E-16</v>
      </c>
    </row>
    <row r="853" spans="1:5">
      <c r="A853" s="76">
        <v>85</v>
      </c>
      <c r="B853" s="66">
        <v>3.14</v>
      </c>
      <c r="C853" s="80">
        <v>4.40649E-16</v>
      </c>
      <c r="D853" s="66">
        <v>3.14</v>
      </c>
      <c r="E853" s="80">
        <v>2.3681100000000001E-16</v>
      </c>
    </row>
    <row r="854" spans="1:5">
      <c r="A854" s="78">
        <v>85.1</v>
      </c>
      <c r="B854" s="67">
        <v>3.14</v>
      </c>
      <c r="C854" s="81">
        <v>4.40649E-16</v>
      </c>
      <c r="D854" s="67">
        <v>3.14</v>
      </c>
      <c r="E854" s="81">
        <v>2.3681100000000001E-16</v>
      </c>
    </row>
    <row r="855" spans="1:5">
      <c r="A855" s="76">
        <v>85.2</v>
      </c>
      <c r="B855" s="66">
        <v>3.14</v>
      </c>
      <c r="C855" s="80">
        <v>4.40649E-16</v>
      </c>
      <c r="D855" s="66">
        <v>3.14</v>
      </c>
      <c r="E855" s="80">
        <v>2.3681100000000001E-16</v>
      </c>
    </row>
    <row r="856" spans="1:5">
      <c r="A856" s="78">
        <v>85.3</v>
      </c>
      <c r="B856" s="67">
        <v>3.14</v>
      </c>
      <c r="C856" s="81">
        <v>4.40649E-16</v>
      </c>
      <c r="D856" s="67">
        <v>3.14</v>
      </c>
      <c r="E856" s="81">
        <v>2.3681100000000001E-16</v>
      </c>
    </row>
    <row r="857" spans="1:5">
      <c r="A857" s="76">
        <v>85.4</v>
      </c>
      <c r="B857" s="66">
        <v>3.14</v>
      </c>
      <c r="C857" s="80">
        <v>4.40649E-16</v>
      </c>
      <c r="D857" s="66">
        <v>3.14</v>
      </c>
      <c r="E857" s="80">
        <v>2.3681100000000001E-16</v>
      </c>
    </row>
    <row r="858" spans="1:5">
      <c r="A858" s="78">
        <v>85.5</v>
      </c>
      <c r="B858" s="67">
        <v>3.14</v>
      </c>
      <c r="C858" s="81">
        <v>4.40649E-16</v>
      </c>
      <c r="D858" s="67">
        <v>3.14</v>
      </c>
      <c r="E858" s="81">
        <v>2.3681100000000001E-16</v>
      </c>
    </row>
    <row r="859" spans="1:5">
      <c r="A859" s="76">
        <v>85.6</v>
      </c>
      <c r="B859" s="66">
        <v>3.14</v>
      </c>
      <c r="C859" s="80">
        <v>4.40649E-16</v>
      </c>
      <c r="D859" s="66">
        <v>3.14</v>
      </c>
      <c r="E859" s="80">
        <v>2.3681100000000001E-16</v>
      </c>
    </row>
    <row r="860" spans="1:5">
      <c r="A860" s="78">
        <v>85.7</v>
      </c>
      <c r="B860" s="67">
        <v>3.14</v>
      </c>
      <c r="C860" s="81">
        <v>4.40649E-16</v>
      </c>
      <c r="D860" s="67">
        <v>3.14</v>
      </c>
      <c r="E860" s="81">
        <v>2.3681100000000001E-16</v>
      </c>
    </row>
    <row r="861" spans="1:5">
      <c r="A861" s="76">
        <v>85.8</v>
      </c>
      <c r="B861" s="66">
        <v>3.14</v>
      </c>
      <c r="C861" s="80">
        <v>4.40649E-16</v>
      </c>
      <c r="D861" s="66">
        <v>3.14</v>
      </c>
      <c r="E861" s="80">
        <v>2.3681100000000001E-16</v>
      </c>
    </row>
    <row r="862" spans="1:5">
      <c r="A862" s="78">
        <v>85.9</v>
      </c>
      <c r="B862" s="67">
        <v>3.14</v>
      </c>
      <c r="C862" s="81">
        <v>4.40649E-16</v>
      </c>
      <c r="D862" s="67">
        <v>3.14</v>
      </c>
      <c r="E862" s="81">
        <v>2.3681100000000001E-16</v>
      </c>
    </row>
    <row r="863" spans="1:5">
      <c r="A863" s="76">
        <v>86</v>
      </c>
      <c r="B863" s="66">
        <v>3.14</v>
      </c>
      <c r="C863" s="80">
        <v>4.40649E-16</v>
      </c>
      <c r="D863" s="66">
        <v>3.14</v>
      </c>
      <c r="E863" s="80">
        <v>2.3681100000000001E-16</v>
      </c>
    </row>
    <row r="864" spans="1:5">
      <c r="A864" s="78">
        <v>86.1</v>
      </c>
      <c r="B864" s="67">
        <v>3.14</v>
      </c>
      <c r="C864" s="81">
        <v>4.40649E-16</v>
      </c>
      <c r="D864" s="67">
        <v>3.14</v>
      </c>
      <c r="E864" s="81">
        <v>2.3681100000000001E-16</v>
      </c>
    </row>
    <row r="865" spans="1:5">
      <c r="A865" s="76">
        <v>86.2</v>
      </c>
      <c r="B865" s="66">
        <v>3.14</v>
      </c>
      <c r="C865" s="80">
        <v>4.40649E-16</v>
      </c>
      <c r="D865" s="66">
        <v>3.14</v>
      </c>
      <c r="E865" s="80">
        <v>2.3681100000000001E-16</v>
      </c>
    </row>
    <row r="866" spans="1:5">
      <c r="A866" s="78">
        <v>86.3</v>
      </c>
      <c r="B866" s="67">
        <v>3.14</v>
      </c>
      <c r="C866" s="81">
        <v>4.40649E-16</v>
      </c>
      <c r="D866" s="67">
        <v>3.14</v>
      </c>
      <c r="E866" s="81">
        <v>2.3681100000000001E-16</v>
      </c>
    </row>
    <row r="867" spans="1:5">
      <c r="A867" s="76">
        <v>86.4</v>
      </c>
      <c r="B867" s="66">
        <v>3.14</v>
      </c>
      <c r="C867" s="80">
        <v>4.40649E-16</v>
      </c>
      <c r="D867" s="66">
        <v>3.14</v>
      </c>
      <c r="E867" s="80">
        <v>2.3681100000000001E-16</v>
      </c>
    </row>
    <row r="868" spans="1:5">
      <c r="A868" s="78">
        <v>86.5</v>
      </c>
      <c r="B868" s="67">
        <v>3.14</v>
      </c>
      <c r="C868" s="81">
        <v>4.40649E-16</v>
      </c>
      <c r="D868" s="67">
        <v>3.14</v>
      </c>
      <c r="E868" s="81">
        <v>2.3681100000000001E-16</v>
      </c>
    </row>
    <row r="869" spans="1:5">
      <c r="A869" s="76">
        <v>86.6</v>
      </c>
      <c r="B869" s="66">
        <v>3.14</v>
      </c>
      <c r="C869" s="80">
        <v>4.40649E-16</v>
      </c>
      <c r="D869" s="66">
        <v>3.14</v>
      </c>
      <c r="E869" s="80">
        <v>2.3681100000000001E-16</v>
      </c>
    </row>
    <row r="870" spans="1:5">
      <c r="A870" s="78">
        <v>86.7</v>
      </c>
      <c r="B870" s="67">
        <v>3.14</v>
      </c>
      <c r="C870" s="81">
        <v>4.40649E-16</v>
      </c>
      <c r="D870" s="67">
        <v>3.14</v>
      </c>
      <c r="E870" s="81">
        <v>2.3681100000000001E-16</v>
      </c>
    </row>
    <row r="871" spans="1:5">
      <c r="A871" s="76">
        <v>86.8</v>
      </c>
      <c r="B871" s="66">
        <v>3.14</v>
      </c>
      <c r="C871" s="80">
        <v>4.40649E-16</v>
      </c>
      <c r="D871" s="66">
        <v>3.14</v>
      </c>
      <c r="E871" s="80">
        <v>2.3681100000000001E-16</v>
      </c>
    </row>
    <row r="872" spans="1:5">
      <c r="A872" s="78">
        <v>86.9</v>
      </c>
      <c r="B872" s="67">
        <v>3.14</v>
      </c>
      <c r="C872" s="81">
        <v>4.40649E-16</v>
      </c>
      <c r="D872" s="67">
        <v>3.14</v>
      </c>
      <c r="E872" s="81">
        <v>2.3681100000000001E-16</v>
      </c>
    </row>
    <row r="873" spans="1:5">
      <c r="A873" s="76">
        <v>87</v>
      </c>
      <c r="B873" s="66">
        <v>3.14</v>
      </c>
      <c r="C873" s="80">
        <v>4.40649E-16</v>
      </c>
      <c r="D873" s="66">
        <v>3.14</v>
      </c>
      <c r="E873" s="80">
        <v>2.3681199999999998E-16</v>
      </c>
    </row>
    <row r="874" spans="1:5">
      <c r="A874" s="78">
        <v>87.1</v>
      </c>
      <c r="B874" s="67">
        <v>3.14</v>
      </c>
      <c r="C874" s="81">
        <v>4.40649E-16</v>
      </c>
      <c r="D874" s="67">
        <v>3.14</v>
      </c>
      <c r="E874" s="81">
        <v>2.3681199999999998E-16</v>
      </c>
    </row>
    <row r="875" spans="1:5">
      <c r="A875" s="76">
        <v>87.2</v>
      </c>
      <c r="B875" s="66">
        <v>3.14</v>
      </c>
      <c r="C875" s="80">
        <v>4.40649E-16</v>
      </c>
      <c r="D875" s="66">
        <v>3.14</v>
      </c>
      <c r="E875" s="80">
        <v>2.3681199999999998E-16</v>
      </c>
    </row>
    <row r="876" spans="1:5">
      <c r="A876" s="78">
        <v>87.3</v>
      </c>
      <c r="B876" s="67">
        <v>3.14</v>
      </c>
      <c r="C876" s="81">
        <v>4.40649E-16</v>
      </c>
      <c r="D876" s="67">
        <v>3.14</v>
      </c>
      <c r="E876" s="81">
        <v>2.3681199999999998E-16</v>
      </c>
    </row>
    <row r="877" spans="1:5">
      <c r="A877" s="76">
        <v>87.4</v>
      </c>
      <c r="B877" s="66">
        <v>3.14</v>
      </c>
      <c r="C877" s="80">
        <v>4.40649E-16</v>
      </c>
      <c r="D877" s="66">
        <v>3.14</v>
      </c>
      <c r="E877" s="80">
        <v>2.3681199999999998E-16</v>
      </c>
    </row>
    <row r="878" spans="1:5">
      <c r="A878" s="78">
        <v>87.5</v>
      </c>
      <c r="B878" s="67">
        <v>3.14</v>
      </c>
      <c r="C878" s="81">
        <v>4.40649E-16</v>
      </c>
      <c r="D878" s="67">
        <v>3.14</v>
      </c>
      <c r="E878" s="81">
        <v>2.3681199999999998E-16</v>
      </c>
    </row>
    <row r="879" spans="1:5">
      <c r="A879" s="76">
        <v>87.6</v>
      </c>
      <c r="B879" s="66">
        <v>3.14</v>
      </c>
      <c r="C879" s="80">
        <v>4.40649E-16</v>
      </c>
      <c r="D879" s="66">
        <v>3.14</v>
      </c>
      <c r="E879" s="80">
        <v>2.3681199999999998E-16</v>
      </c>
    </row>
    <row r="880" spans="1:5">
      <c r="A880" s="78">
        <v>87.7</v>
      </c>
      <c r="B880" s="67">
        <v>3.14</v>
      </c>
      <c r="C880" s="81">
        <v>4.40649E-16</v>
      </c>
      <c r="D880" s="67">
        <v>3.14</v>
      </c>
      <c r="E880" s="81">
        <v>2.3681199999999998E-16</v>
      </c>
    </row>
    <row r="881" spans="1:5">
      <c r="A881" s="76">
        <v>87.8</v>
      </c>
      <c r="B881" s="66">
        <v>3.14</v>
      </c>
      <c r="C881" s="80">
        <v>4.40649E-16</v>
      </c>
      <c r="D881" s="66">
        <v>3.14</v>
      </c>
      <c r="E881" s="80">
        <v>2.3681199999999998E-16</v>
      </c>
    </row>
    <row r="882" spans="1:5">
      <c r="A882" s="78">
        <v>87.9</v>
      </c>
      <c r="B882" s="67">
        <v>3.14</v>
      </c>
      <c r="C882" s="81">
        <v>4.40649E-16</v>
      </c>
      <c r="D882" s="67">
        <v>3.14</v>
      </c>
      <c r="E882" s="81">
        <v>2.3681199999999998E-16</v>
      </c>
    </row>
    <row r="883" spans="1:5">
      <c r="A883" s="76">
        <v>88</v>
      </c>
      <c r="B883" s="66">
        <v>3.14</v>
      </c>
      <c r="C883" s="80">
        <v>4.40649E-16</v>
      </c>
      <c r="D883" s="66">
        <v>3.14</v>
      </c>
      <c r="E883" s="80">
        <v>2.3681199999999998E-16</v>
      </c>
    </row>
    <row r="884" spans="1:5">
      <c r="A884" s="78">
        <v>88.1</v>
      </c>
      <c r="B884" s="67">
        <v>3.14</v>
      </c>
      <c r="C884" s="81">
        <v>4.40649E-16</v>
      </c>
      <c r="D884" s="67">
        <v>3.14</v>
      </c>
      <c r="E884" s="81">
        <v>2.3681199999999998E-16</v>
      </c>
    </row>
    <row r="885" spans="1:5">
      <c r="A885" s="76">
        <v>88.2</v>
      </c>
      <c r="B885" s="66">
        <v>3.14</v>
      </c>
      <c r="C885" s="80">
        <v>4.40649E-16</v>
      </c>
      <c r="D885" s="66">
        <v>3.14</v>
      </c>
      <c r="E885" s="80">
        <v>2.3681199999999998E-16</v>
      </c>
    </row>
    <row r="886" spans="1:5">
      <c r="A886" s="78">
        <v>88.3</v>
      </c>
      <c r="B886" s="67">
        <v>3.14</v>
      </c>
      <c r="C886" s="81">
        <v>4.40649E-16</v>
      </c>
      <c r="D886" s="67">
        <v>3.14</v>
      </c>
      <c r="E886" s="81">
        <v>2.3681199999999998E-16</v>
      </c>
    </row>
    <row r="887" spans="1:5">
      <c r="A887" s="76">
        <v>88.4</v>
      </c>
      <c r="B887" s="66">
        <v>3.14</v>
      </c>
      <c r="C887" s="80">
        <v>4.40649E-16</v>
      </c>
      <c r="D887" s="66">
        <v>3.14</v>
      </c>
      <c r="E887" s="80">
        <v>2.3681199999999998E-16</v>
      </c>
    </row>
    <row r="888" spans="1:5">
      <c r="A888" s="78">
        <v>88.5</v>
      </c>
      <c r="B888" s="67">
        <v>3.14</v>
      </c>
      <c r="C888" s="81">
        <v>4.40649E-16</v>
      </c>
      <c r="D888" s="67">
        <v>3.14</v>
      </c>
      <c r="E888" s="81">
        <v>2.3681199999999998E-16</v>
      </c>
    </row>
    <row r="889" spans="1:5">
      <c r="A889" s="76">
        <v>88.6</v>
      </c>
      <c r="B889" s="66">
        <v>3.14</v>
      </c>
      <c r="C889" s="80">
        <v>4.40649E-16</v>
      </c>
      <c r="D889" s="66">
        <v>3.14</v>
      </c>
      <c r="E889" s="80">
        <v>2.3681199999999998E-16</v>
      </c>
    </row>
    <row r="890" spans="1:5">
      <c r="A890" s="78">
        <v>88.7</v>
      </c>
      <c r="B890" s="67">
        <v>3.14</v>
      </c>
      <c r="C890" s="81">
        <v>4.40649E-16</v>
      </c>
      <c r="D890" s="67">
        <v>3.14</v>
      </c>
      <c r="E890" s="81">
        <v>2.3681199999999998E-16</v>
      </c>
    </row>
    <row r="891" spans="1:5">
      <c r="A891" s="76">
        <v>88.8</v>
      </c>
      <c r="B891" s="66">
        <v>3.14</v>
      </c>
      <c r="C891" s="80">
        <v>4.40649E-16</v>
      </c>
      <c r="D891" s="66">
        <v>3.14</v>
      </c>
      <c r="E891" s="80">
        <v>2.3681199999999998E-16</v>
      </c>
    </row>
    <row r="892" spans="1:5">
      <c r="A892" s="78">
        <v>88.9</v>
      </c>
      <c r="B892" s="67">
        <v>3.14</v>
      </c>
      <c r="C892" s="81">
        <v>4.40649E-16</v>
      </c>
      <c r="D892" s="67">
        <v>3.14</v>
      </c>
      <c r="E892" s="81">
        <v>2.3681199999999998E-16</v>
      </c>
    </row>
    <row r="893" spans="1:5">
      <c r="A893" s="76">
        <v>89</v>
      </c>
      <c r="B893" s="66">
        <v>3.14</v>
      </c>
      <c r="C893" s="80">
        <v>4.40649E-16</v>
      </c>
      <c r="D893" s="66">
        <v>3.14</v>
      </c>
      <c r="E893" s="80">
        <v>2.3681199999999998E-16</v>
      </c>
    </row>
    <row r="894" spans="1:5">
      <c r="A894" s="78">
        <v>89.1</v>
      </c>
      <c r="B894" s="67">
        <v>3.14</v>
      </c>
      <c r="C894" s="81">
        <v>4.40649E-16</v>
      </c>
      <c r="D894" s="67">
        <v>3.14</v>
      </c>
      <c r="E894" s="81">
        <v>2.3681199999999998E-16</v>
      </c>
    </row>
    <row r="895" spans="1:5">
      <c r="A895" s="76">
        <v>89.2</v>
      </c>
      <c r="B895" s="66">
        <v>3.14</v>
      </c>
      <c r="C895" s="80">
        <v>4.40649E-16</v>
      </c>
      <c r="D895" s="66">
        <v>3.14</v>
      </c>
      <c r="E895" s="80">
        <v>2.3681199999999998E-16</v>
      </c>
    </row>
    <row r="896" spans="1:5">
      <c r="A896" s="78">
        <v>89.3</v>
      </c>
      <c r="B896" s="67">
        <v>3.14</v>
      </c>
      <c r="C896" s="81">
        <v>4.40649E-16</v>
      </c>
      <c r="D896" s="67">
        <v>3.14</v>
      </c>
      <c r="E896" s="81">
        <v>2.3681199999999998E-16</v>
      </c>
    </row>
    <row r="897" spans="1:5">
      <c r="A897" s="76">
        <v>89.4</v>
      </c>
      <c r="B897" s="66">
        <v>3.14</v>
      </c>
      <c r="C897" s="80">
        <v>4.40649E-16</v>
      </c>
      <c r="D897" s="66">
        <v>3.14</v>
      </c>
      <c r="E897" s="80">
        <v>2.3681199999999998E-16</v>
      </c>
    </row>
    <row r="898" spans="1:5">
      <c r="A898" s="78">
        <v>89.5</v>
      </c>
      <c r="B898" s="67">
        <v>3.14</v>
      </c>
      <c r="C898" s="81">
        <v>4.40649E-16</v>
      </c>
      <c r="D898" s="67">
        <v>3.14</v>
      </c>
      <c r="E898" s="81">
        <v>2.3681199999999998E-16</v>
      </c>
    </row>
    <row r="899" spans="1:5">
      <c r="A899" s="76">
        <v>89.6</v>
      </c>
      <c r="B899" s="66">
        <v>3.14</v>
      </c>
      <c r="C899" s="80">
        <v>4.40649E-16</v>
      </c>
      <c r="D899" s="66">
        <v>3.14</v>
      </c>
      <c r="E899" s="80">
        <v>2.3681199999999998E-16</v>
      </c>
    </row>
    <row r="900" spans="1:5">
      <c r="A900" s="78">
        <v>89.7</v>
      </c>
      <c r="B900" s="67">
        <v>3.14</v>
      </c>
      <c r="C900" s="81">
        <v>4.40649E-16</v>
      </c>
      <c r="D900" s="67">
        <v>3.14</v>
      </c>
      <c r="E900" s="81">
        <v>2.3681199999999998E-16</v>
      </c>
    </row>
    <row r="901" spans="1:5">
      <c r="A901" s="76">
        <v>89.8</v>
      </c>
      <c r="B901" s="66">
        <v>3.14</v>
      </c>
      <c r="C901" s="80">
        <v>4.40649E-16</v>
      </c>
      <c r="D901" s="66">
        <v>3.14</v>
      </c>
      <c r="E901" s="80">
        <v>2.3681199999999998E-16</v>
      </c>
    </row>
    <row r="902" spans="1:5">
      <c r="A902" s="78">
        <v>89.9</v>
      </c>
      <c r="B902" s="67">
        <v>3.14</v>
      </c>
      <c r="C902" s="81">
        <v>4.40649E-16</v>
      </c>
      <c r="D902" s="67">
        <v>3.14</v>
      </c>
      <c r="E902" s="81">
        <v>2.3681199999999998E-16</v>
      </c>
    </row>
    <row r="903" spans="1:5">
      <c r="A903" s="76">
        <v>90</v>
      </c>
      <c r="B903" s="66">
        <v>3.14</v>
      </c>
      <c r="C903" s="80">
        <v>4.40649E-16</v>
      </c>
      <c r="D903" s="66">
        <v>3.14</v>
      </c>
      <c r="E903" s="80">
        <v>2.3681199999999998E-16</v>
      </c>
    </row>
    <row r="904" spans="1:5">
      <c r="A904" s="78">
        <v>90.1</v>
      </c>
      <c r="B904" s="67">
        <v>3.14</v>
      </c>
      <c r="C904" s="81">
        <v>4.40649E-16</v>
      </c>
      <c r="D904" s="67">
        <v>3.14</v>
      </c>
      <c r="E904" s="81">
        <v>2.3681199999999998E-16</v>
      </c>
    </row>
    <row r="905" spans="1:5">
      <c r="A905" s="76">
        <v>90.2</v>
      </c>
      <c r="B905" s="66">
        <v>3.14</v>
      </c>
      <c r="C905" s="80">
        <v>4.40649E-16</v>
      </c>
      <c r="D905" s="66">
        <v>3.14</v>
      </c>
      <c r="E905" s="80">
        <v>2.3681199999999998E-16</v>
      </c>
    </row>
    <row r="906" spans="1:5">
      <c r="A906" s="78">
        <v>90.3</v>
      </c>
      <c r="B906" s="67">
        <v>3.14</v>
      </c>
      <c r="C906" s="81">
        <v>4.40649E-16</v>
      </c>
      <c r="D906" s="67">
        <v>3.14</v>
      </c>
      <c r="E906" s="81">
        <v>2.3681199999999998E-16</v>
      </c>
    </row>
    <row r="907" spans="1:5">
      <c r="A907" s="76">
        <v>90.4</v>
      </c>
      <c r="B907" s="66">
        <v>3.14</v>
      </c>
      <c r="C907" s="80">
        <v>4.40649E-16</v>
      </c>
      <c r="D907" s="66">
        <v>3.14</v>
      </c>
      <c r="E907" s="80">
        <v>2.3681199999999998E-16</v>
      </c>
    </row>
    <row r="908" spans="1:5">
      <c r="A908" s="78">
        <v>90.5</v>
      </c>
      <c r="B908" s="67">
        <v>3.14</v>
      </c>
      <c r="C908" s="81">
        <v>4.40649E-16</v>
      </c>
      <c r="D908" s="67">
        <v>3.14</v>
      </c>
      <c r="E908" s="81">
        <v>2.3681199999999998E-16</v>
      </c>
    </row>
    <row r="909" spans="1:5">
      <c r="A909" s="76">
        <v>90.6</v>
      </c>
      <c r="B909" s="66">
        <v>3.14</v>
      </c>
      <c r="C909" s="80">
        <v>4.40649E-16</v>
      </c>
      <c r="D909" s="66">
        <v>3.14</v>
      </c>
      <c r="E909" s="80">
        <v>2.3681199999999998E-16</v>
      </c>
    </row>
    <row r="910" spans="1:5">
      <c r="A910" s="78">
        <v>90.7</v>
      </c>
      <c r="B910" s="67">
        <v>3.14</v>
      </c>
      <c r="C910" s="81">
        <v>4.40649E-16</v>
      </c>
      <c r="D910" s="67">
        <v>3.14</v>
      </c>
      <c r="E910" s="81">
        <v>2.3681199999999998E-16</v>
      </c>
    </row>
    <row r="911" spans="1:5">
      <c r="A911" s="76">
        <v>90.8</v>
      </c>
      <c r="B911" s="66">
        <v>3.14</v>
      </c>
      <c r="C911" s="80">
        <v>4.40649E-16</v>
      </c>
      <c r="D911" s="66">
        <v>3.14</v>
      </c>
      <c r="E911" s="80">
        <v>2.3681199999999998E-16</v>
      </c>
    </row>
    <row r="912" spans="1:5">
      <c r="A912" s="78">
        <v>90.9</v>
      </c>
      <c r="B912" s="67">
        <v>3.14</v>
      </c>
      <c r="C912" s="81">
        <v>4.40649E-16</v>
      </c>
      <c r="D912" s="67">
        <v>3.14</v>
      </c>
      <c r="E912" s="81">
        <v>2.3681199999999998E-16</v>
      </c>
    </row>
    <row r="913" spans="1:5">
      <c r="A913" s="76">
        <v>91</v>
      </c>
      <c r="B913" s="66">
        <v>3.14</v>
      </c>
      <c r="C913" s="80">
        <v>4.40649E-16</v>
      </c>
      <c r="D913" s="66">
        <v>3.14</v>
      </c>
      <c r="E913" s="80">
        <v>2.3681199999999998E-16</v>
      </c>
    </row>
    <row r="914" spans="1:5">
      <c r="A914" s="78">
        <v>91.1</v>
      </c>
      <c r="B914" s="67">
        <v>3.14</v>
      </c>
      <c r="C914" s="81">
        <v>4.40649E-16</v>
      </c>
      <c r="D914" s="67">
        <v>3.14</v>
      </c>
      <c r="E914" s="81">
        <v>2.3681199999999998E-16</v>
      </c>
    </row>
    <row r="915" spans="1:5">
      <c r="A915" s="76">
        <v>91.2</v>
      </c>
      <c r="B915" s="66">
        <v>3.14</v>
      </c>
      <c r="C915" s="80">
        <v>4.40649E-16</v>
      </c>
      <c r="D915" s="66">
        <v>3.14</v>
      </c>
      <c r="E915" s="80">
        <v>2.3681199999999998E-16</v>
      </c>
    </row>
    <row r="916" spans="1:5">
      <c r="A916" s="78">
        <v>91.3</v>
      </c>
      <c r="B916" s="67">
        <v>3.14</v>
      </c>
      <c r="C916" s="81">
        <v>4.40649E-16</v>
      </c>
      <c r="D916" s="67">
        <v>3.14</v>
      </c>
      <c r="E916" s="81">
        <v>2.3681199999999998E-16</v>
      </c>
    </row>
    <row r="917" spans="1:5">
      <c r="A917" s="76">
        <v>91.4</v>
      </c>
      <c r="B917" s="66">
        <v>3.14</v>
      </c>
      <c r="C917" s="80">
        <v>4.40649E-16</v>
      </c>
      <c r="D917" s="66">
        <v>3.14</v>
      </c>
      <c r="E917" s="80">
        <v>2.3681199999999998E-16</v>
      </c>
    </row>
    <row r="918" spans="1:5">
      <c r="A918" s="78">
        <v>91.5</v>
      </c>
      <c r="B918" s="67">
        <v>3.14</v>
      </c>
      <c r="C918" s="81">
        <v>4.40649E-16</v>
      </c>
      <c r="D918" s="67">
        <v>3.14</v>
      </c>
      <c r="E918" s="81">
        <v>2.3681199999999998E-16</v>
      </c>
    </row>
    <row r="919" spans="1:5">
      <c r="A919" s="76">
        <v>91.6</v>
      </c>
      <c r="B919" s="66">
        <v>3.14</v>
      </c>
      <c r="C919" s="80">
        <v>4.40649E-16</v>
      </c>
      <c r="D919" s="66">
        <v>3.14</v>
      </c>
      <c r="E919" s="80">
        <v>2.3681199999999998E-16</v>
      </c>
    </row>
    <row r="920" spans="1:5">
      <c r="A920" s="78">
        <v>91.7</v>
      </c>
      <c r="B920" s="67">
        <v>3.14</v>
      </c>
      <c r="C920" s="81">
        <v>4.40649E-16</v>
      </c>
      <c r="D920" s="67">
        <v>3.14</v>
      </c>
      <c r="E920" s="81">
        <v>2.3681199999999998E-16</v>
      </c>
    </row>
    <row r="921" spans="1:5">
      <c r="A921" s="76">
        <v>91.8</v>
      </c>
      <c r="B921" s="66">
        <v>3.14</v>
      </c>
      <c r="C921" s="80">
        <v>4.40649E-16</v>
      </c>
      <c r="D921" s="66">
        <v>3.14</v>
      </c>
      <c r="E921" s="80">
        <v>2.3681199999999998E-16</v>
      </c>
    </row>
    <row r="922" spans="1:5">
      <c r="A922" s="78">
        <v>91.9</v>
      </c>
      <c r="B922" s="67">
        <v>3.14</v>
      </c>
      <c r="C922" s="81">
        <v>4.40649E-16</v>
      </c>
      <c r="D922" s="67">
        <v>3.14</v>
      </c>
      <c r="E922" s="81">
        <v>2.3681199999999998E-16</v>
      </c>
    </row>
    <row r="923" spans="1:5">
      <c r="A923" s="76">
        <v>92</v>
      </c>
      <c r="B923" s="66">
        <v>3.14</v>
      </c>
      <c r="C923" s="80">
        <v>4.40649E-16</v>
      </c>
      <c r="D923" s="66">
        <v>3.14</v>
      </c>
      <c r="E923" s="80">
        <v>2.3681199999999998E-16</v>
      </c>
    </row>
    <row r="924" spans="1:5">
      <c r="A924" s="78">
        <v>92.1</v>
      </c>
      <c r="B924" s="67">
        <v>3.14</v>
      </c>
      <c r="C924" s="81">
        <v>4.40649E-16</v>
      </c>
      <c r="D924" s="67">
        <v>3.14</v>
      </c>
      <c r="E924" s="81">
        <v>2.3681199999999998E-16</v>
      </c>
    </row>
    <row r="925" spans="1:5">
      <c r="A925" s="76">
        <v>92.2</v>
      </c>
      <c r="B925" s="66">
        <v>3.14</v>
      </c>
      <c r="C925" s="80">
        <v>4.40649E-16</v>
      </c>
      <c r="D925" s="66">
        <v>3.14</v>
      </c>
      <c r="E925" s="80">
        <v>2.3681199999999998E-16</v>
      </c>
    </row>
    <row r="926" spans="1:5">
      <c r="A926" s="78">
        <v>92.3</v>
      </c>
      <c r="B926" s="67">
        <v>3.14</v>
      </c>
      <c r="C926" s="81">
        <v>4.40649E-16</v>
      </c>
      <c r="D926" s="67">
        <v>3.14</v>
      </c>
      <c r="E926" s="81">
        <v>2.3681199999999998E-16</v>
      </c>
    </row>
    <row r="927" spans="1:5">
      <c r="A927" s="76">
        <v>92.4</v>
      </c>
      <c r="B927" s="66">
        <v>3.14</v>
      </c>
      <c r="C927" s="80">
        <v>4.40649E-16</v>
      </c>
      <c r="D927" s="66">
        <v>3.14</v>
      </c>
      <c r="E927" s="80">
        <v>2.3681199999999998E-16</v>
      </c>
    </row>
    <row r="928" spans="1:5">
      <c r="A928" s="78">
        <v>92.5</v>
      </c>
      <c r="B928" s="67">
        <v>3.14</v>
      </c>
      <c r="C928" s="81">
        <v>4.40649E-16</v>
      </c>
      <c r="D928" s="67">
        <v>3.14</v>
      </c>
      <c r="E928" s="81">
        <v>2.3681199999999998E-16</v>
      </c>
    </row>
    <row r="929" spans="1:5">
      <c r="A929" s="76">
        <v>92.6</v>
      </c>
      <c r="B929" s="66">
        <v>3.14</v>
      </c>
      <c r="C929" s="80">
        <v>4.40649E-16</v>
      </c>
      <c r="D929" s="66">
        <v>3.14</v>
      </c>
      <c r="E929" s="80">
        <v>2.3681199999999998E-16</v>
      </c>
    </row>
    <row r="930" spans="1:5">
      <c r="A930" s="78">
        <v>92.7</v>
      </c>
      <c r="B930" s="67">
        <v>3.14</v>
      </c>
      <c r="C930" s="81">
        <v>4.40649E-16</v>
      </c>
      <c r="D930" s="67">
        <v>3.14</v>
      </c>
      <c r="E930" s="81">
        <v>2.3681199999999998E-16</v>
      </c>
    </row>
    <row r="931" spans="1:5">
      <c r="A931" s="76">
        <v>92.8</v>
      </c>
      <c r="B931" s="66">
        <v>3.14</v>
      </c>
      <c r="C931" s="80">
        <v>4.40649E-16</v>
      </c>
      <c r="D931" s="66">
        <v>3.14</v>
      </c>
      <c r="E931" s="80">
        <v>2.3681199999999998E-16</v>
      </c>
    </row>
    <row r="932" spans="1:5">
      <c r="A932" s="78">
        <v>92.9</v>
      </c>
      <c r="B932" s="67">
        <v>3.14</v>
      </c>
      <c r="C932" s="81">
        <v>4.40649E-16</v>
      </c>
      <c r="D932" s="67">
        <v>3.14</v>
      </c>
      <c r="E932" s="81">
        <v>2.3681199999999998E-16</v>
      </c>
    </row>
    <row r="933" spans="1:5">
      <c r="A933" s="76">
        <v>93</v>
      </c>
      <c r="B933" s="66">
        <v>3.14</v>
      </c>
      <c r="C933" s="80">
        <v>4.40649E-16</v>
      </c>
      <c r="D933" s="66">
        <v>3.14</v>
      </c>
      <c r="E933" s="80">
        <v>2.3681199999999998E-16</v>
      </c>
    </row>
    <row r="934" spans="1:5">
      <c r="A934" s="78">
        <v>93.1</v>
      </c>
      <c r="B934" s="67">
        <v>3.14</v>
      </c>
      <c r="C934" s="81">
        <v>4.40649E-16</v>
      </c>
      <c r="D934" s="67">
        <v>3.14</v>
      </c>
      <c r="E934" s="81">
        <v>2.3681199999999998E-16</v>
      </c>
    </row>
    <row r="935" spans="1:5">
      <c r="A935" s="76">
        <v>93.2</v>
      </c>
      <c r="B935" s="66">
        <v>3.14</v>
      </c>
      <c r="C935" s="80">
        <v>4.40649E-16</v>
      </c>
      <c r="D935" s="66">
        <v>3.14</v>
      </c>
      <c r="E935" s="80">
        <v>2.3681199999999998E-16</v>
      </c>
    </row>
    <row r="936" spans="1:5">
      <c r="A936" s="78">
        <v>93.3</v>
      </c>
      <c r="B936" s="67">
        <v>3.14</v>
      </c>
      <c r="C936" s="81">
        <v>4.40649E-16</v>
      </c>
      <c r="D936" s="67">
        <v>3.14</v>
      </c>
      <c r="E936" s="81">
        <v>2.3681199999999998E-16</v>
      </c>
    </row>
    <row r="937" spans="1:5">
      <c r="A937" s="76">
        <v>93.4</v>
      </c>
      <c r="B937" s="66">
        <v>3.14</v>
      </c>
      <c r="C937" s="80">
        <v>4.40649E-16</v>
      </c>
      <c r="D937" s="66">
        <v>3.14</v>
      </c>
      <c r="E937" s="80">
        <v>2.3681199999999998E-16</v>
      </c>
    </row>
    <row r="938" spans="1:5">
      <c r="A938" s="78">
        <v>93.5</v>
      </c>
      <c r="B938" s="67">
        <v>3.14</v>
      </c>
      <c r="C938" s="81">
        <v>4.40649E-16</v>
      </c>
      <c r="D938" s="67">
        <v>3.14</v>
      </c>
      <c r="E938" s="81">
        <v>2.3681199999999998E-16</v>
      </c>
    </row>
    <row r="939" spans="1:5">
      <c r="A939" s="76">
        <v>93.6</v>
      </c>
      <c r="B939" s="66">
        <v>3.14</v>
      </c>
      <c r="C939" s="80">
        <v>4.40649E-16</v>
      </c>
      <c r="D939" s="66">
        <v>3.14</v>
      </c>
      <c r="E939" s="80">
        <v>2.3681199999999998E-16</v>
      </c>
    </row>
    <row r="940" spans="1:5">
      <c r="A940" s="78">
        <v>93.7</v>
      </c>
      <c r="B940" s="67">
        <v>3.14</v>
      </c>
      <c r="C940" s="81">
        <v>4.40649E-16</v>
      </c>
      <c r="D940" s="67">
        <v>3.14</v>
      </c>
      <c r="E940" s="81">
        <v>2.3681199999999998E-16</v>
      </c>
    </row>
    <row r="941" spans="1:5">
      <c r="A941" s="76">
        <v>93.8</v>
      </c>
      <c r="B941" s="66">
        <v>3.14</v>
      </c>
      <c r="C941" s="80">
        <v>4.40649E-16</v>
      </c>
      <c r="D941" s="66">
        <v>3.14</v>
      </c>
      <c r="E941" s="80">
        <v>2.3681199999999998E-16</v>
      </c>
    </row>
    <row r="942" spans="1:5">
      <c r="A942" s="78">
        <v>93.9</v>
      </c>
      <c r="B942" s="67">
        <v>3.14</v>
      </c>
      <c r="C942" s="81">
        <v>4.40649E-16</v>
      </c>
      <c r="D942" s="67">
        <v>3.14</v>
      </c>
      <c r="E942" s="81">
        <v>2.3681199999999998E-16</v>
      </c>
    </row>
    <row r="943" spans="1:5">
      <c r="A943" s="76">
        <v>94</v>
      </c>
      <c r="B943" s="66">
        <v>3.14</v>
      </c>
      <c r="C943" s="80">
        <v>4.40649E-16</v>
      </c>
      <c r="D943" s="66">
        <v>3.14</v>
      </c>
      <c r="E943" s="80">
        <v>2.3681199999999998E-16</v>
      </c>
    </row>
    <row r="944" spans="1:5">
      <c r="A944" s="78">
        <v>94.1</v>
      </c>
      <c r="B944" s="67">
        <v>3.14</v>
      </c>
      <c r="C944" s="81">
        <v>4.40649E-16</v>
      </c>
      <c r="D944" s="67">
        <v>3.14</v>
      </c>
      <c r="E944" s="81">
        <v>2.3681199999999998E-16</v>
      </c>
    </row>
    <row r="945" spans="1:5">
      <c r="A945" s="76">
        <v>94.2</v>
      </c>
      <c r="B945" s="66">
        <v>3.14</v>
      </c>
      <c r="C945" s="80">
        <v>4.40649E-16</v>
      </c>
      <c r="D945" s="66">
        <v>3.14</v>
      </c>
      <c r="E945" s="80">
        <v>2.3681199999999998E-16</v>
      </c>
    </row>
    <row r="946" spans="1:5">
      <c r="A946" s="78">
        <v>94.3</v>
      </c>
      <c r="B946" s="67">
        <v>3.14</v>
      </c>
      <c r="C946" s="81">
        <v>4.40649E-16</v>
      </c>
      <c r="D946" s="67">
        <v>3.14</v>
      </c>
      <c r="E946" s="81">
        <v>2.3681199999999998E-16</v>
      </c>
    </row>
    <row r="947" spans="1:5">
      <c r="A947" s="76">
        <v>94.4</v>
      </c>
      <c r="B947" s="66">
        <v>3.14</v>
      </c>
      <c r="C947" s="80">
        <v>4.40649E-16</v>
      </c>
      <c r="D947" s="66">
        <v>3.14</v>
      </c>
      <c r="E947" s="80">
        <v>2.3681199999999998E-16</v>
      </c>
    </row>
    <row r="948" spans="1:5">
      <c r="A948" s="78">
        <v>94.5</v>
      </c>
      <c r="B948" s="67">
        <v>3.14</v>
      </c>
      <c r="C948" s="81">
        <v>4.40649E-16</v>
      </c>
      <c r="D948" s="67">
        <v>3.14</v>
      </c>
      <c r="E948" s="81">
        <v>2.3681199999999998E-16</v>
      </c>
    </row>
    <row r="949" spans="1:5">
      <c r="A949" s="76">
        <v>94.6</v>
      </c>
      <c r="B949" s="66">
        <v>3.14</v>
      </c>
      <c r="C949" s="80">
        <v>4.40649E-16</v>
      </c>
      <c r="D949" s="66">
        <v>3.14</v>
      </c>
      <c r="E949" s="80">
        <v>2.3681199999999998E-16</v>
      </c>
    </row>
    <row r="950" spans="1:5">
      <c r="A950" s="78">
        <v>94.7</v>
      </c>
      <c r="B950" s="67">
        <v>3.14</v>
      </c>
      <c r="C950" s="81">
        <v>4.40649E-16</v>
      </c>
      <c r="D950" s="67">
        <v>3.14</v>
      </c>
      <c r="E950" s="81">
        <v>2.3681199999999998E-16</v>
      </c>
    </row>
    <row r="951" spans="1:5">
      <c r="A951" s="76">
        <v>94.8</v>
      </c>
      <c r="B951" s="66">
        <v>3.14</v>
      </c>
      <c r="C951" s="80">
        <v>4.40649E-16</v>
      </c>
      <c r="D951" s="66">
        <v>3.14</v>
      </c>
      <c r="E951" s="80">
        <v>2.3681199999999998E-16</v>
      </c>
    </row>
    <row r="952" spans="1:5">
      <c r="A952" s="78">
        <v>94.9</v>
      </c>
      <c r="B952" s="67">
        <v>3.14</v>
      </c>
      <c r="C952" s="81">
        <v>4.40649E-16</v>
      </c>
      <c r="D952" s="67">
        <v>3.14</v>
      </c>
      <c r="E952" s="81">
        <v>2.3681199999999998E-16</v>
      </c>
    </row>
    <row r="953" spans="1:5">
      <c r="A953" s="76">
        <v>95</v>
      </c>
      <c r="B953" s="66">
        <v>3.14</v>
      </c>
      <c r="C953" s="80">
        <v>4.40649E-16</v>
      </c>
      <c r="D953" s="66">
        <v>3.14</v>
      </c>
      <c r="E953" s="80">
        <v>2.3681199999999998E-16</v>
      </c>
    </row>
    <row r="954" spans="1:5">
      <c r="A954" s="78">
        <v>95.1</v>
      </c>
      <c r="B954" s="67">
        <v>3.14</v>
      </c>
      <c r="C954" s="81">
        <v>4.40649E-16</v>
      </c>
      <c r="D954" s="67">
        <v>3.14</v>
      </c>
      <c r="E954" s="81">
        <v>2.3681199999999998E-16</v>
      </c>
    </row>
    <row r="955" spans="1:5">
      <c r="A955" s="76">
        <v>95.2</v>
      </c>
      <c r="B955" s="66">
        <v>3.14</v>
      </c>
      <c r="C955" s="80">
        <v>4.40649E-16</v>
      </c>
      <c r="D955" s="66">
        <v>3.14</v>
      </c>
      <c r="E955" s="80">
        <v>2.3681199999999998E-16</v>
      </c>
    </row>
    <row r="956" spans="1:5">
      <c r="A956" s="78">
        <v>95.3</v>
      </c>
      <c r="B956" s="67">
        <v>3.14</v>
      </c>
      <c r="C956" s="81">
        <v>4.40649E-16</v>
      </c>
      <c r="D956" s="67">
        <v>3.14</v>
      </c>
      <c r="E956" s="81">
        <v>2.3681199999999998E-16</v>
      </c>
    </row>
    <row r="957" spans="1:5">
      <c r="A957" s="76">
        <v>95.4</v>
      </c>
      <c r="B957" s="66">
        <v>3.14</v>
      </c>
      <c r="C957" s="80">
        <v>4.40649E-16</v>
      </c>
      <c r="D957" s="66">
        <v>3.14</v>
      </c>
      <c r="E957" s="80">
        <v>2.3681199999999998E-16</v>
      </c>
    </row>
    <row r="958" spans="1:5">
      <c r="A958" s="78">
        <v>95.5</v>
      </c>
      <c r="B958" s="67">
        <v>3.14</v>
      </c>
      <c r="C958" s="81">
        <v>4.40649E-16</v>
      </c>
      <c r="D958" s="67">
        <v>3.14</v>
      </c>
      <c r="E958" s="81">
        <v>2.3681199999999998E-16</v>
      </c>
    </row>
    <row r="959" spans="1:5">
      <c r="A959" s="76">
        <v>95.6</v>
      </c>
      <c r="B959" s="66">
        <v>3.14</v>
      </c>
      <c r="C959" s="80">
        <v>4.40649E-16</v>
      </c>
      <c r="D959" s="66">
        <v>3.14</v>
      </c>
      <c r="E959" s="80">
        <v>2.3681199999999998E-16</v>
      </c>
    </row>
    <row r="960" spans="1:5">
      <c r="A960" s="78">
        <v>95.7</v>
      </c>
      <c r="B960" s="67">
        <v>3.14</v>
      </c>
      <c r="C960" s="81">
        <v>4.40649E-16</v>
      </c>
      <c r="D960" s="67">
        <v>3.14</v>
      </c>
      <c r="E960" s="81">
        <v>2.3681199999999998E-16</v>
      </c>
    </row>
    <row r="961" spans="1:5">
      <c r="A961" s="76">
        <v>95.8</v>
      </c>
      <c r="B961" s="66">
        <v>3.14</v>
      </c>
      <c r="C961" s="80">
        <v>4.40649E-16</v>
      </c>
      <c r="D961" s="66">
        <v>3.14</v>
      </c>
      <c r="E961" s="80">
        <v>2.3681199999999998E-16</v>
      </c>
    </row>
    <row r="962" spans="1:5">
      <c r="A962" s="78">
        <v>95.9</v>
      </c>
      <c r="B962" s="67">
        <v>3.14</v>
      </c>
      <c r="C962" s="81">
        <v>4.40649E-16</v>
      </c>
      <c r="D962" s="67">
        <v>3.14</v>
      </c>
      <c r="E962" s="81">
        <v>2.3681199999999998E-16</v>
      </c>
    </row>
    <row r="963" spans="1:5">
      <c r="A963" s="76">
        <v>96</v>
      </c>
      <c r="B963" s="66">
        <v>3.14</v>
      </c>
      <c r="C963" s="80">
        <v>4.40649E-16</v>
      </c>
      <c r="D963" s="66">
        <v>3.14</v>
      </c>
      <c r="E963" s="80">
        <v>2.3681199999999998E-16</v>
      </c>
    </row>
    <row r="964" spans="1:5">
      <c r="A964" s="78">
        <v>96.1</v>
      </c>
      <c r="B964" s="67">
        <v>3.14</v>
      </c>
      <c r="C964" s="81">
        <v>4.40649E-16</v>
      </c>
      <c r="D964" s="67">
        <v>3.14</v>
      </c>
      <c r="E964" s="81">
        <v>2.3681199999999998E-16</v>
      </c>
    </row>
    <row r="965" spans="1:5">
      <c r="A965" s="76">
        <v>96.2</v>
      </c>
      <c r="B965" s="66">
        <v>3.14</v>
      </c>
      <c r="C965" s="80">
        <v>4.40649E-16</v>
      </c>
      <c r="D965" s="66">
        <v>3.14</v>
      </c>
      <c r="E965" s="80">
        <v>2.3681199999999998E-16</v>
      </c>
    </row>
    <row r="966" spans="1:5">
      <c r="A966" s="78">
        <v>96.3</v>
      </c>
      <c r="B966" s="67">
        <v>3.14</v>
      </c>
      <c r="C966" s="81">
        <v>4.40649E-16</v>
      </c>
      <c r="D966" s="67">
        <v>3.14</v>
      </c>
      <c r="E966" s="81">
        <v>2.3681199999999998E-16</v>
      </c>
    </row>
    <row r="967" spans="1:5">
      <c r="A967" s="76">
        <v>96.4</v>
      </c>
      <c r="B967" s="66">
        <v>3.14</v>
      </c>
      <c r="C967" s="80">
        <v>4.40649E-16</v>
      </c>
      <c r="D967" s="66">
        <v>3.14</v>
      </c>
      <c r="E967" s="80">
        <v>2.3681199999999998E-16</v>
      </c>
    </row>
    <row r="968" spans="1:5">
      <c r="A968" s="78">
        <v>96.5</v>
      </c>
      <c r="B968" s="67">
        <v>3.14</v>
      </c>
      <c r="C968" s="81">
        <v>4.40649E-16</v>
      </c>
      <c r="D968" s="67">
        <v>3.14</v>
      </c>
      <c r="E968" s="81">
        <v>2.3681199999999998E-16</v>
      </c>
    </row>
    <row r="969" spans="1:5">
      <c r="A969" s="76">
        <v>96.6</v>
      </c>
      <c r="B969" s="66">
        <v>3.14</v>
      </c>
      <c r="C969" s="80">
        <v>4.40649E-16</v>
      </c>
      <c r="D969" s="66">
        <v>3.14</v>
      </c>
      <c r="E969" s="80">
        <v>2.3681199999999998E-16</v>
      </c>
    </row>
    <row r="970" spans="1:5">
      <c r="A970" s="78">
        <v>96.7</v>
      </c>
      <c r="B970" s="67">
        <v>3.14</v>
      </c>
      <c r="C970" s="81">
        <v>4.40649E-16</v>
      </c>
      <c r="D970" s="67">
        <v>3.14</v>
      </c>
      <c r="E970" s="81">
        <v>2.3681199999999998E-16</v>
      </c>
    </row>
    <row r="971" spans="1:5">
      <c r="A971" s="76">
        <v>96.8</v>
      </c>
      <c r="B971" s="66">
        <v>3.14</v>
      </c>
      <c r="C971" s="80">
        <v>4.40649E-16</v>
      </c>
      <c r="D971" s="66">
        <v>3.14</v>
      </c>
      <c r="E971" s="80">
        <v>2.3681199999999998E-16</v>
      </c>
    </row>
    <row r="972" spans="1:5">
      <c r="A972" s="78">
        <v>96.9</v>
      </c>
      <c r="B972" s="67">
        <v>3.14</v>
      </c>
      <c r="C972" s="81">
        <v>4.40649E-16</v>
      </c>
      <c r="D972" s="67">
        <v>3.14</v>
      </c>
      <c r="E972" s="81">
        <v>2.3681199999999998E-16</v>
      </c>
    </row>
    <row r="973" spans="1:5">
      <c r="A973" s="76">
        <v>97</v>
      </c>
      <c r="B973" s="66">
        <v>3.14</v>
      </c>
      <c r="C973" s="80">
        <v>4.40649E-16</v>
      </c>
      <c r="D973" s="66">
        <v>3.14</v>
      </c>
      <c r="E973" s="80">
        <v>2.3681199999999998E-16</v>
      </c>
    </row>
    <row r="974" spans="1:5">
      <c r="A974" s="78">
        <v>97.1</v>
      </c>
      <c r="B974" s="67">
        <v>3.14</v>
      </c>
      <c r="C974" s="81">
        <v>4.40649E-16</v>
      </c>
      <c r="D974" s="67">
        <v>3.14</v>
      </c>
      <c r="E974" s="81">
        <v>2.3681199999999998E-16</v>
      </c>
    </row>
    <row r="975" spans="1:5">
      <c r="A975" s="76">
        <v>97.2</v>
      </c>
      <c r="B975" s="66">
        <v>3.14</v>
      </c>
      <c r="C975" s="80">
        <v>4.40649E-16</v>
      </c>
      <c r="D975" s="66">
        <v>3.14</v>
      </c>
      <c r="E975" s="80">
        <v>2.3681199999999998E-16</v>
      </c>
    </row>
    <row r="976" spans="1:5">
      <c r="A976" s="78">
        <v>97.3</v>
      </c>
      <c r="B976" s="67">
        <v>3.14</v>
      </c>
      <c r="C976" s="81">
        <v>4.40649E-16</v>
      </c>
      <c r="D976" s="67">
        <v>3.14</v>
      </c>
      <c r="E976" s="81">
        <v>2.3681199999999998E-16</v>
      </c>
    </row>
    <row r="977" spans="1:5">
      <c r="A977" s="76">
        <v>97.4</v>
      </c>
      <c r="B977" s="66">
        <v>3.14</v>
      </c>
      <c r="C977" s="80">
        <v>4.40649E-16</v>
      </c>
      <c r="D977" s="66">
        <v>3.14</v>
      </c>
      <c r="E977" s="80">
        <v>2.3681199999999998E-16</v>
      </c>
    </row>
    <row r="978" spans="1:5">
      <c r="A978" s="78">
        <v>97.5</v>
      </c>
      <c r="B978" s="67">
        <v>3.14</v>
      </c>
      <c r="C978" s="81">
        <v>4.40649E-16</v>
      </c>
      <c r="D978" s="67">
        <v>3.14</v>
      </c>
      <c r="E978" s="81">
        <v>2.3681199999999998E-16</v>
      </c>
    </row>
    <row r="979" spans="1:5">
      <c r="A979" s="76">
        <v>97.6</v>
      </c>
      <c r="B979" s="66">
        <v>3.14</v>
      </c>
      <c r="C979" s="80">
        <v>4.40649E-16</v>
      </c>
      <c r="D979" s="66">
        <v>3.14</v>
      </c>
      <c r="E979" s="80">
        <v>2.3681199999999998E-16</v>
      </c>
    </row>
    <row r="980" spans="1:5">
      <c r="A980" s="78">
        <v>97.7</v>
      </c>
      <c r="B980" s="67">
        <v>3.14</v>
      </c>
      <c r="C980" s="81">
        <v>4.40649E-16</v>
      </c>
      <c r="D980" s="67">
        <v>3.14</v>
      </c>
      <c r="E980" s="81">
        <v>2.3681199999999998E-16</v>
      </c>
    </row>
    <row r="981" spans="1:5">
      <c r="A981" s="76">
        <v>97.8</v>
      </c>
      <c r="B981" s="66">
        <v>3.14</v>
      </c>
      <c r="C981" s="80">
        <v>4.40649E-16</v>
      </c>
      <c r="D981" s="66">
        <v>3.14</v>
      </c>
      <c r="E981" s="80">
        <v>2.3681199999999998E-16</v>
      </c>
    </row>
    <row r="982" spans="1:5">
      <c r="A982" s="78">
        <v>97.9</v>
      </c>
      <c r="B982" s="67">
        <v>3.14</v>
      </c>
      <c r="C982" s="81">
        <v>4.40649E-16</v>
      </c>
      <c r="D982" s="67">
        <v>3.14</v>
      </c>
      <c r="E982" s="81">
        <v>2.3681199999999998E-16</v>
      </c>
    </row>
    <row r="983" spans="1:5">
      <c r="A983" s="76">
        <v>98</v>
      </c>
      <c r="B983" s="66">
        <v>3.14</v>
      </c>
      <c r="C983" s="80">
        <v>4.40649E-16</v>
      </c>
      <c r="D983" s="66">
        <v>3.14</v>
      </c>
      <c r="E983" s="80">
        <v>2.3681199999999998E-16</v>
      </c>
    </row>
    <row r="984" spans="1:5">
      <c r="A984" s="78">
        <v>98.1</v>
      </c>
      <c r="B984" s="67">
        <v>3.14</v>
      </c>
      <c r="C984" s="81">
        <v>4.40649E-16</v>
      </c>
      <c r="D984" s="67">
        <v>3.14</v>
      </c>
      <c r="E984" s="81">
        <v>2.3681199999999998E-16</v>
      </c>
    </row>
    <row r="985" spans="1:5">
      <c r="A985" s="76">
        <v>98.2</v>
      </c>
      <c r="B985" s="66">
        <v>3.14</v>
      </c>
      <c r="C985" s="80">
        <v>4.40649E-16</v>
      </c>
      <c r="D985" s="66">
        <v>3.14</v>
      </c>
      <c r="E985" s="80">
        <v>2.3681199999999998E-16</v>
      </c>
    </row>
    <row r="986" spans="1:5">
      <c r="A986" s="78">
        <v>98.3</v>
      </c>
      <c r="B986" s="67">
        <v>3.14</v>
      </c>
      <c r="C986" s="81">
        <v>4.40649E-16</v>
      </c>
      <c r="D986" s="67">
        <v>3.14</v>
      </c>
      <c r="E986" s="81">
        <v>2.3681199999999998E-16</v>
      </c>
    </row>
    <row r="987" spans="1:5">
      <c r="A987" s="76">
        <v>98.4</v>
      </c>
      <c r="B987" s="66">
        <v>3.14</v>
      </c>
      <c r="C987" s="80">
        <v>4.40649E-16</v>
      </c>
      <c r="D987" s="66">
        <v>3.14</v>
      </c>
      <c r="E987" s="80">
        <v>2.3681199999999998E-16</v>
      </c>
    </row>
    <row r="988" spans="1:5">
      <c r="A988" s="78">
        <v>98.5</v>
      </c>
      <c r="B988" s="67">
        <v>3.14</v>
      </c>
      <c r="C988" s="81">
        <v>4.40649E-16</v>
      </c>
      <c r="D988" s="67">
        <v>3.14</v>
      </c>
      <c r="E988" s="81">
        <v>2.3681199999999998E-16</v>
      </c>
    </row>
    <row r="989" spans="1:5">
      <c r="A989" s="76">
        <v>98.6</v>
      </c>
      <c r="B989" s="66">
        <v>3.14</v>
      </c>
      <c r="C989" s="80">
        <v>4.40649E-16</v>
      </c>
      <c r="D989" s="66">
        <v>3.14</v>
      </c>
      <c r="E989" s="80">
        <v>2.3681199999999998E-16</v>
      </c>
    </row>
    <row r="990" spans="1:5">
      <c r="A990" s="78">
        <v>98.7</v>
      </c>
      <c r="B990" s="67">
        <v>3.14</v>
      </c>
      <c r="C990" s="81">
        <v>4.40649E-16</v>
      </c>
      <c r="D990" s="67">
        <v>3.14</v>
      </c>
      <c r="E990" s="81">
        <v>2.3681199999999998E-16</v>
      </c>
    </row>
    <row r="991" spans="1:5">
      <c r="A991" s="76">
        <v>98.8</v>
      </c>
      <c r="B991" s="66">
        <v>3.14</v>
      </c>
      <c r="C991" s="80">
        <v>4.40649E-16</v>
      </c>
      <c r="D991" s="66">
        <v>3.14</v>
      </c>
      <c r="E991" s="80">
        <v>2.3681199999999998E-16</v>
      </c>
    </row>
    <row r="992" spans="1:5">
      <c r="A992" s="78">
        <v>98.9</v>
      </c>
      <c r="B992" s="67">
        <v>3.14</v>
      </c>
      <c r="C992" s="81">
        <v>4.40649E-16</v>
      </c>
      <c r="D992" s="67">
        <v>3.14</v>
      </c>
      <c r="E992" s="81">
        <v>2.3681199999999998E-16</v>
      </c>
    </row>
    <row r="993" spans="1:5">
      <c r="A993" s="76">
        <v>99</v>
      </c>
      <c r="B993" s="66">
        <v>3.14</v>
      </c>
      <c r="C993" s="80">
        <v>4.40649E-16</v>
      </c>
      <c r="D993" s="66">
        <v>3.14</v>
      </c>
      <c r="E993" s="80">
        <v>2.3681199999999998E-16</v>
      </c>
    </row>
    <row r="994" spans="1:5">
      <c r="A994" s="78">
        <v>99.1</v>
      </c>
      <c r="B994" s="67">
        <v>3.14</v>
      </c>
      <c r="C994" s="81">
        <v>4.40649E-16</v>
      </c>
      <c r="D994" s="67">
        <v>3.14</v>
      </c>
      <c r="E994" s="81">
        <v>2.3681199999999998E-16</v>
      </c>
    </row>
    <row r="995" spans="1:5">
      <c r="A995" s="76">
        <v>99.2</v>
      </c>
      <c r="B995" s="66">
        <v>3.14</v>
      </c>
      <c r="C995" s="80">
        <v>4.40649E-16</v>
      </c>
      <c r="D995" s="66">
        <v>3.14</v>
      </c>
      <c r="E995" s="80">
        <v>2.3681199999999998E-16</v>
      </c>
    </row>
    <row r="996" spans="1:5">
      <c r="A996" s="78">
        <v>99.3</v>
      </c>
      <c r="B996" s="67">
        <v>3.14</v>
      </c>
      <c r="C996" s="81">
        <v>4.40649E-16</v>
      </c>
      <c r="D996" s="67">
        <v>3.14</v>
      </c>
      <c r="E996" s="81">
        <v>2.3681199999999998E-16</v>
      </c>
    </row>
    <row r="997" spans="1:5">
      <c r="A997" s="76">
        <v>99.4</v>
      </c>
      <c r="B997" s="66">
        <v>3.14</v>
      </c>
      <c r="C997" s="80">
        <v>4.40649E-16</v>
      </c>
      <c r="D997" s="66">
        <v>3.14</v>
      </c>
      <c r="E997" s="80">
        <v>2.3681199999999998E-16</v>
      </c>
    </row>
    <row r="998" spans="1:5">
      <c r="A998" s="78">
        <v>99.5</v>
      </c>
      <c r="B998" s="67">
        <v>3.14</v>
      </c>
      <c r="C998" s="81">
        <v>4.40649E-16</v>
      </c>
      <c r="D998" s="67">
        <v>3.14</v>
      </c>
      <c r="E998" s="81">
        <v>2.3681199999999998E-16</v>
      </c>
    </row>
    <row r="999" spans="1:5">
      <c r="A999" s="76">
        <v>99.6</v>
      </c>
      <c r="B999" s="66">
        <v>3.14</v>
      </c>
      <c r="C999" s="80">
        <v>4.40649E-16</v>
      </c>
      <c r="D999" s="66">
        <v>3.14</v>
      </c>
      <c r="E999" s="80">
        <v>2.3681199999999998E-16</v>
      </c>
    </row>
    <row r="1000" spans="1:5">
      <c r="A1000" s="78">
        <v>99.7</v>
      </c>
      <c r="B1000" s="67">
        <v>3.14</v>
      </c>
      <c r="C1000" s="81">
        <v>4.40649E-16</v>
      </c>
      <c r="D1000" s="67">
        <v>3.14</v>
      </c>
      <c r="E1000" s="81">
        <v>2.3681199999999998E-16</v>
      </c>
    </row>
    <row r="1001" spans="1:5">
      <c r="A1001" s="76">
        <v>99.8</v>
      </c>
      <c r="B1001" s="66">
        <v>3.14</v>
      </c>
      <c r="C1001" s="80">
        <v>4.40649E-16</v>
      </c>
      <c r="D1001" s="66">
        <v>3.14</v>
      </c>
      <c r="E1001" s="80">
        <v>2.3681199999999998E-16</v>
      </c>
    </row>
    <row r="1002" spans="1:5">
      <c r="A1002" s="78">
        <v>99.9</v>
      </c>
      <c r="B1002" s="67">
        <v>3.14</v>
      </c>
      <c r="C1002" s="81">
        <v>4.40649E-16</v>
      </c>
      <c r="D1002" s="67">
        <v>3.14</v>
      </c>
      <c r="E1002" s="81">
        <v>2.3681199999999998E-16</v>
      </c>
    </row>
    <row r="1003" spans="1:5">
      <c r="A1003" s="76">
        <v>100</v>
      </c>
      <c r="B1003" s="66">
        <v>3.14</v>
      </c>
      <c r="C1003" s="80">
        <v>4.40649E-16</v>
      </c>
      <c r="D1003" s="66">
        <v>3.14</v>
      </c>
      <c r="E1003" s="80">
        <v>2.3681199999999998E-16</v>
      </c>
    </row>
  </sheetData>
  <mergeCells count="3">
    <mergeCell ref="A1:A2"/>
    <mergeCell ref="B1:C1"/>
    <mergeCell ref="D1:E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EEBAC-526F-4C93-A3CF-C8E18131E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2025-11-21T17:15:15Z</dcterms:modified>
</cp:coreProperties>
</file>